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kimz030\Desktop\Work\Mapper\globe-xml-mapper\Resources\"/>
    </mc:Choice>
  </mc:AlternateContent>
  <xr:revisionPtr revIDLastSave="0" documentId="13_ncr:1_{73D1EB5F-BFE8-409F-AE19-16FFA0799086}" xr6:coauthVersionLast="47" xr6:coauthVersionMax="47" xr10:uidLastSave="{00000000-0000-0000-0000-000000000000}"/>
  <bookViews>
    <workbookView xWindow="-120" yWindow="-120" windowWidth="38640" windowHeight="21120" tabRatio="948" activeTab="8" xr2:uid="{00000000-000D-0000-FFFF-FFFF00000000}"/>
  </bookViews>
  <sheets>
    <sheet name="작성요령" sheetId="33" r:id="rId1"/>
    <sheet name="구성기업" sheetId="34" r:id="rId2"/>
    <sheet name="목차" sheetId="39" r:id="rId3"/>
    <sheet name="MNE그룹 정보" sheetId="1" r:id="rId4"/>
    <sheet name="최종모기업" sheetId="2" r:id="rId5"/>
    <sheet name="그룹구조" sheetId="3" r:id="rId6"/>
    <sheet name="제외기업" sheetId="5" r:id="rId7"/>
    <sheet name="그룹구조 변동" sheetId="6" r:id="rId8"/>
    <sheet name="요약" sheetId="7" r:id="rId9"/>
    <sheet name="적용면제" sheetId="8" r:id="rId10"/>
    <sheet name="UTPR 배분" sheetId="30" r:id="rId11"/>
    <sheet name="국가별 계산" sheetId="36" r:id="rId12"/>
    <sheet name="구성기업 계산" sheetId="38" r:id="rId13"/>
    <sheet name="from_template" sheetId="41" r:id="rId14"/>
    <sheet name="_META" sheetId="29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8" l="1"/>
  <c r="A2" i="36"/>
  <c r="A2" i="8"/>
  <c r="A2" i="5"/>
  <c r="A2" i="3"/>
  <c r="A2" i="2"/>
  <c r="O149" i="38"/>
  <c r="O145" i="38"/>
  <c r="O116" i="38" a="1"/>
  <c r="O116" i="38" s="1"/>
  <c r="O88" i="38"/>
  <c r="M44" i="38"/>
  <c r="M247" i="36"/>
  <c r="M248" i="36" s="1"/>
  <c r="I222" i="36" s="1"/>
  <c r="L222" i="36"/>
  <c r="C222" i="36"/>
  <c r="N215" i="36"/>
  <c r="N217" i="36" s="1"/>
  <c r="O194" i="36"/>
  <c r="O129" i="36"/>
  <c r="O104" i="36"/>
  <c r="O106" i="36" s="1"/>
  <c r="O109" i="36" s="1"/>
  <c r="O90" i="36"/>
  <c r="O84" i="36"/>
  <c r="L27" i="36" s="1"/>
  <c r="O80" i="36"/>
  <c r="O105" i="36" s="1"/>
  <c r="O58" i="36"/>
  <c r="E27" i="36" s="1"/>
  <c r="A7" i="38" l="1"/>
  <c r="A12" i="38"/>
  <c r="A47" i="38"/>
  <c r="A52" i="38"/>
  <c r="A54" i="38"/>
  <c r="A93" i="36"/>
  <c r="A96" i="36"/>
  <c r="O27" i="36"/>
  <c r="A59" i="38" l="1"/>
  <c r="A132" i="36"/>
  <c r="J6" i="2"/>
  <c r="J7" i="2"/>
  <c r="A61" i="38" l="1"/>
  <c r="A65" i="38"/>
  <c r="A91" i="38"/>
  <c r="A93" i="38"/>
  <c r="A133" i="38"/>
  <c r="A169" i="36"/>
  <c r="A259" i="36" s="1"/>
  <c r="A137" i="36"/>
  <c r="A162" i="36"/>
  <c r="A138" i="38" l="1"/>
  <c r="A156" i="38" l="1"/>
  <c r="A161" i="38"/>
  <c r="A163" i="38" s="1"/>
  <c r="A168" i="38" s="1"/>
  <c r="A185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B2" authorId="0" shapeId="0" xr:uid="{00000000-0006-0000-0600-000001000000}">
      <text>
        <r>
          <rPr>
            <sz val="9"/>
            <color rgb="FF000000"/>
            <rFont val="Tahoma"/>
            <family val="2"/>
          </rPr>
          <t>XML</t>
        </r>
        <r>
          <rPr>
            <sz val="9"/>
            <color rgb="FF000000"/>
            <rFont val="돋움"/>
            <family val="3"/>
          </rPr>
          <t>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요구하지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않는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항목은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삭제하였음</t>
        </r>
      </text>
    </comment>
    <comment ref="P5" authorId="0" shapeId="0" xr:uid="{00000000-0006-0000-0600-000002000000}">
      <text>
        <r>
          <rPr>
            <sz val="9"/>
            <color rgb="FF000000"/>
            <rFont val="Tahoma"/>
            <family val="2"/>
          </rPr>
          <t>XML</t>
        </r>
        <r>
          <rPr>
            <sz val="9"/>
            <color rgb="FF000000"/>
            <rFont val="돋움"/>
            <family val="3"/>
          </rPr>
          <t>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요구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B8" authorId="0" shapeId="0" xr:uid="{00000000-0006-0000-0800-000001000000}">
      <text>
        <r>
          <rPr>
            <sz val="9"/>
            <color rgb="FF000000"/>
            <rFont val="Tahoma"/>
            <family val="2"/>
          </rPr>
          <t>XML</t>
        </r>
        <r>
          <rPr>
            <sz val="9"/>
            <color rgb="FF000000"/>
            <rFont val="돋움"/>
            <family val="3"/>
          </rPr>
          <t>에선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합산단위를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기준으로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요구함</t>
        </r>
      </text>
    </comment>
    <comment ref="B9" authorId="0" shapeId="0" xr:uid="{00000000-0006-0000-0800-000002000000}">
      <text>
        <r>
          <rPr>
            <sz val="9"/>
            <color rgb="FF000000"/>
            <rFont val="Tahoma"/>
            <family val="2"/>
          </rPr>
          <t xml:space="preserve">Mapping </t>
        </r>
        <r>
          <rPr>
            <sz val="9"/>
            <color rgb="FF000000"/>
            <rFont val="돋움"/>
            <family val="3"/>
          </rPr>
          <t>제외</t>
        </r>
        <r>
          <rPr>
            <sz val="9"/>
            <color rgb="FF000000"/>
            <rFont val="Tahoma"/>
            <family val="2"/>
          </rPr>
          <t xml:space="preserve"> - XML </t>
        </r>
        <r>
          <rPr>
            <sz val="9"/>
            <color rgb="FF000000"/>
            <rFont val="돋움"/>
            <family val="3"/>
          </rPr>
          <t>어느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항목에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대응하는지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모르겠음</t>
        </r>
      </text>
    </comment>
    <comment ref="O14" authorId="0" shapeId="0" xr:uid="{00000000-0006-0000-0800-000003000000}">
      <text>
        <r>
          <rPr>
            <sz val="9"/>
            <color rgb="FF000000"/>
            <rFont val="돋움"/>
            <family val="3"/>
          </rPr>
          <t>요약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시트에서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</rPr>
          <t>작성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O8" authorId="0" shapeId="0" xr:uid="{C8E95E0C-AFC2-4C16-9DC0-9071D5C8B499}">
      <text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XML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<sst xmlns="http://schemas.openxmlformats.org/spreadsheetml/2006/main" count="1116" uniqueCount="828">
  <si>
    <r>
      <rPr>
        <b/>
        <sz val="11"/>
        <color theme="1"/>
        <rFont val="맑은 고딕"/>
        <family val="3"/>
        <charset val="129"/>
        <scheme val="minor"/>
      </rPr>
      <t>시트명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</si>
  <si>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항목번호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</si>
  <si>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항목명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</si>
  <si>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항목내용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</si>
  <si>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복수선택</t>
    </r>
    <phoneticPr fontId="0" type="noConversion"/>
  </si>
  <si>
    <t>기업매핑</t>
    <phoneticPr fontId="0" type="noConversion"/>
  </si>
  <si>
    <t>기업 납세자번호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</si>
  <si>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t>
    </r>
    <phoneticPr fontId="0" type="noConversion"/>
  </si>
  <si>
    <t>하위그룹 유형</t>
    <phoneticPr fontId="0" type="noConversion"/>
  </si>
  <si>
    <t>GIR1101: Constituent Entities
GIR1102: Minority-Owned Subgroup
GIR1103: Standalone MOCEs
GIR1104: Investment Entities
GIR1105: JV Group
GIR1106: Stateless Constituent Entity</t>
  </si>
  <si>
    <t>하위그룹 최상위기업 납세자번호</t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</si>
  <si>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다국적기업그룹 정보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</si>
  <si>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1.1.2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</si>
  <si>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신고구성기업 상호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</si>
  <si>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영문명을 기재합니다.
국문명도 기재하고자 하는 경우 영문명, 국문명을 세미콜론(;)을 기준으로 구분하여 기재합니다.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</si>
  <si>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1.1.3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</si>
  <si>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납세자번호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</si>
  <si>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1.1.4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</si>
  <si>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신고구성기업 지위</t>
    </r>
    <phoneticPr fontId="0" type="noConversion"/>
  </si>
  <si>
    <t>GIR401: UPE
GIR402: Designated Filing Entity
GIR403: Designated Local Entity
GIR404: Constituent Entity
GIR405: Other</t>
  </si>
  <si>
    <r>
      <rPr>
        <sz val="11"/>
        <color theme="1"/>
        <rFont val="맑은 고딕"/>
        <family val="2"/>
        <charset val="129"/>
        <scheme val="minor"/>
      </rPr>
      <t>1.1.5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</si>
  <si>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신고구성기업 소재지국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</si>
  <si>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ISO3166-alpha2 예시) KR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</si>
  <si>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1.1.6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</si>
  <si>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연례 자동정보 교환당사국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</si>
  <si>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1.2.2.1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</si>
  <si>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최종모기업 연결재무제표(유형)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</si>
  <si>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MR 54~55p Consolidated FS 정의
GIR501: (a)
GIR502: (b)
GIR503: (c)
GIR504: (d)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</si>
  <si>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1.2.2.3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</si>
  <si>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최종모기업 연결재무제표 통화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</si>
  <si>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ISO4217-alpha3 예시) KRW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</si>
  <si>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최종모기업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</si>
  <si>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1.3.1.2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</si>
  <si>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적용가능규칙</t>
    </r>
    <phoneticPr fontId="0" type="noConversion"/>
  </si>
  <si>
    <t>GIR201: QIIR ─ 다른 소재지국 저율과세구성기업에만 적용
GIR202: QIIR ─ 다른 소재지국 + 모기업 소재지국 저율과세구성기업 모두 적용
GIR203: QUTPR
GIR204: QDMTT
GIR205: Not Applicable</t>
  </si>
  <si>
    <r>
      <rPr>
        <sz val="11"/>
        <color theme="1"/>
        <rFont val="맑은 고딕"/>
        <family val="2"/>
        <charset val="129"/>
        <scheme val="minor"/>
      </rPr>
      <t>가능(컴마로 구분)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</si>
  <si>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1.3.1.4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</si>
  <si>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최종모기업 납세자번호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</si>
  <si>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1.3.1.6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</si>
  <si>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글로벌최저한세 목적상 기업유형</t>
    </r>
    <phoneticPr fontId="0" type="noConversion"/>
  </si>
  <si>
    <t>GIR701: Constituent Entity
GIR702: Flow-Through Entity - Tax Transparent
GIR703: Flow-Through Entity - Reverse Hybrid
GIR704: Hybrid Entity
GIR705: Permanent Establishment
GIR706: Main Entity
GIR707: Minority-Owned Parent Entity
GIR708: Minority-Owned Subsidiary
GIR709: Minority-Owned Constituent ENtity
GIR710: Investment Entity
GIR711: Insurance Investment Entity
GIR712: Securitisation Entity
GIR713: JV
GIR714: JV Subsidiary
GIR715: Non-Material Constituent Entity
GIR716: POPE
GIR717: Intermediate Parent Entity
GIR718: Ultimate Parent Entity
GIR719: Excluded Entity
GIR720: Parent Entity Required to apply a QIIR under Art 10.3.5
GIR721: Non-Group member</t>
  </si>
  <si>
    <r>
      <rPr>
        <sz val="11"/>
        <color theme="1"/>
        <rFont val="맑은 고딕"/>
        <family val="2"/>
        <charset val="129"/>
        <scheme val="minor"/>
      </rPr>
      <t>1.3.1.7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</si>
  <si>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제외기업 유형</t>
    </r>
    <phoneticPr fontId="0" type="noConversion"/>
  </si>
  <si>
    <t>GIR601: Governmental Entity
GIR602: International Organisation
GIR603: Non-profit Organisation
GIR604: Pension Fund
GIR605: Investment Fund that is an UPE
GIR606: Real Estate Investment Vehicle that is an UPE</t>
  </si>
  <si>
    <r>
      <rPr>
        <sz val="11"/>
        <color theme="1"/>
        <rFont val="맑은 고딕"/>
        <family val="2"/>
        <charset val="129"/>
        <scheme val="minor"/>
      </rPr>
      <t>1.3.1.8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</si>
  <si>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국조령 제103조제4항 적용 국가에 해당되는 경우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</si>
  <si>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그룹구조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</si>
  <si>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</si>
  <si>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소재지국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</si>
  <si>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1.3.2.1.3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</si>
  <si>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1.3.2.1.4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</si>
  <si>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구성기업, 공동기업 또는 공동기업 자회사의 상호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</si>
  <si>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영문명을 기재합니다. 
국문명도 기재하고자 하는 경우 영문명, 국문명을 세미콜론(;)을 기준으로 구분하여 기재합니다.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</si>
  <si>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1.3.2.1.5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</si>
  <si>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1.3.2.1.7</t>
    </r>
    <phoneticPr fontId="0" type="noConversion"/>
  </si>
  <si>
    <t>GIR301: Constituent Entity
GIR302: Flow-Through Entity - Tax Transparent
GIR303: Flow-Through Entity - Reverse Hybrid
GIR304: Hybrid Entity
GIR305: Permanent Establishment
GIR306: Main Entity
GIR307: Minority-Owned Parent Entity
GIR308: Minority-Owned Subsidiary
GIR309: Minority-Owned Constituent Entity
GIR310: Investment Entity
GIR311: Insurance Investment Entity
GIR312: Securitisation Entity
GIR313: JV
GIR314: JV Subsidiary
GIR315: Non-Material Constituent Entity
GIR316: Excluded Entity
GIR317: Parent Entity required to apply a QIIR under Article 10.3.5
GIR318: Non-group Member</t>
  </si>
  <si>
    <t>1.3.2.1.8~10</t>
    <phoneticPr fontId="0" type="noConversion"/>
  </si>
  <si>
    <t>소유지분구조</t>
    <phoneticPr fontId="2" type="noConversion"/>
  </si>
  <si>
    <t>모기업 유형, 납세자번호, 납세자번호 유형, 발급국가, 소유지분(0~1 값으로 기재)을 콤마로 구분하여 기재
예시) GIR801, 12345, GIR3001, KR, 1
모기업 유형
GIR801: UPE
GIR802: Constituent Entities
GIR803: JVs
GIR804: JV Subsidiaries
GIR805: Excluded Entities (aggregate)
GIR806: Non-Group members (aggregate)
납세자번호 유형
GIR3001: Tax Identification Number
GIR3002: Functionally equivalent number
GIR3003: Agreed GIR designated number
GIR3004: Not required to be reported
발급국가 ISO3166-alpha2</t>
    <phoneticPr fontId="2" type="noConversion"/>
  </si>
  <si>
    <t>가능(세미콜론으로 구분)</t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</si>
  <si>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1.3.2.1.11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</si>
  <si>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모기업 유형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</si>
  <si>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GIR901: POPE
GIR902: Intermediate Parent Entity
GIR903: Parent Entity required to apply a QIIR under Art. 10.3.5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</si>
  <si>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1.3.2.1.12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</si>
  <si>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Art2.1.3에 따른 모기업의 납세자번호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</si>
  <si>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1.3.2.1.13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</si>
  <si>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Art2.1.5에 따른 모기업의 납세자번호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</si>
  <si>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제외기업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</si>
  <si>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1.3.2.2.2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</si>
  <si>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제외기업 상호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</si>
  <si>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1.3.2.2.3</t>
    </r>
    <phoneticPr fontId="0" type="noConversion"/>
  </si>
  <si>
    <t>GIR1001: Governmental Entity
GIR1002: International Organisation
GIR1003: Non-profit Organisation
GIR1004: Pension Fund
GIR1005: Investment Fund that is an UPE
GIR1006: Real Estate Investment Vehicle that is an UPE
GIR1007: Entity owned by Excluded Entities under Article 1.5.2(a)
GIR1008: Entity owned by Excluded Entities under Article 1.5.2(b)</t>
  </si>
  <si>
    <r>
      <rPr>
        <sz val="11"/>
        <color theme="1"/>
        <rFont val="맑은 고딕"/>
        <family val="2"/>
        <charset val="129"/>
        <scheme val="minor"/>
      </rPr>
      <t>그룹구조 변동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</si>
  <si>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1.3.3.1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</si>
  <si>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구성기업 (또는 다국적기업그룹의 다른 기업) 또는 공동기업그룹기업의 상호</t>
    </r>
    <phoneticPr fontId="0" type="noConversion"/>
  </si>
  <si>
    <t>영문명을 기재합니다. 국문명도 기재하고자 하는 경우 영문명, 국문명을 세미콜론(;)을 기준으로 구분하여 기재합니다.</t>
  </si>
  <si>
    <r>
      <rPr>
        <sz val="11"/>
        <color theme="1"/>
        <rFont val="맑은 고딕"/>
        <family val="2"/>
        <charset val="129"/>
        <scheme val="minor"/>
      </rPr>
      <t>1.3.3.2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</si>
  <si>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1.3.3.4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</si>
  <si>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변동 전 글로벌최저한세목적상 기업 유형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</si>
  <si>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1.3.3.9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</si>
  <si>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주주기업 유형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</si>
  <si>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서식에는 없으나 XML에 존재하는 내용입니다.
GIR801: UPE
GIR802: Constituent Entities
GIR803: JVs
GIR804: JV Subsidiaries
GIR805: Excluded Entities (aggregate)
GIR806: Non-Group members (aggregate)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</si>
  <si>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요약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</si>
  <si>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1.4.1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</si>
  <si>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1.4.2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</si>
  <si>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하위그룹 유형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</si>
  <si>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1.4.3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</si>
  <si>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하위그룹 최상위기업 납세자번호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</si>
  <si>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1.4.4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</si>
  <si>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글로벌최저한세 과세권이 있는 국가명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</si>
  <si>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국가코드: ISO3166-alpha2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</si>
  <si>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1.4.5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</si>
  <si>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적용면제 또는 제외 사유</t>
    </r>
    <phoneticPr fontId="0" type="noConversion"/>
  </si>
  <si>
    <t>GIR1201: De minimis Exclusion
GIR1202: QDMTT safe harbour
GIR1203: Transitional CbCR Safe Harbour - De minimis test
GIR1204: Transitional CbCR Safe Harbour - ETR test
GIR1205: Transitional CbCR Safe Harbour - Routine profit test
GIR1206: Transitional UTPR Safe Harbour
GIR1207: Permanent Safe Harbour - De minimis test
GIR1208: Permanent Safe Harbour - ETR test
GIR1209: Permanent Safe Harbour - Routine profit test</t>
  </si>
  <si>
    <r>
      <rPr>
        <sz val="11"/>
        <color theme="1"/>
        <rFont val="맑은 고딕"/>
        <family val="2"/>
        <charset val="129"/>
        <scheme val="minor"/>
      </rPr>
      <t>1.4.6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</si>
  <si>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실효세율 범위</t>
    </r>
    <phoneticPr fontId="0" type="noConversion"/>
  </si>
  <si>
    <t>GIR1301: below 2.5%
GIR1302: 2.5% or above but below 5%
GIR1303: 5% or above but below 7.5%
GIR1304: 7.5% or above but below 10%
GIR1305: 10% or above but below 12.5%
GIR1306: 12.5% or above but below 15%
GIR1307: 15% or above but below 17.5%
GIR1308: 17.5% or above but below 20%
GIR1309: 20% or above but below 22.5%
GIR1310: 22.5% or above but below 25%
GIR1311: 25% or above but below 27.5%
GIR1312: 27.5% or above but below 30%
GIR1313: 30% or above
GIR1314: Section 3.2 not completed</t>
  </si>
  <si>
    <r>
      <rPr>
        <sz val="11"/>
        <color theme="1"/>
        <rFont val="맑은 고딕"/>
        <family val="2"/>
        <charset val="129"/>
        <scheme val="minor"/>
      </rPr>
      <t>1.4.8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</si>
  <si>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추가세액 (적격소재국추가세) 범위</t>
    </r>
    <phoneticPr fontId="0" type="noConversion"/>
  </si>
  <si>
    <t>GIR1401: No Top-up Tax payable
GIR1402: below EUR 1 million
GIR1403: EUR 1 million to below EUR 5 million
GIR1404: EUR 5 million to below EUR 25 million
GIR1405: EUR 25 million to below EUR 50 million
GIR1406: EUR 50 million to below EUR 75 million
GIR1407: EUR 75 million to below EUR 100 million
GIR1408: EUR 100 million to below EUR 250 million
GIR1409: EUR 250 million or above</t>
  </si>
  <si>
    <r>
      <rPr>
        <sz val="11"/>
        <color theme="1"/>
        <rFont val="맑은 고딕"/>
        <family val="2"/>
        <charset val="129"/>
        <scheme val="minor"/>
      </rPr>
      <t>1.4.9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</si>
  <si>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추가세액(글로벌최저한세) 범위</t>
    </r>
    <phoneticPr fontId="0" type="noConversion"/>
  </si>
  <si>
    <t>GIR1501: No Top-up Tax payable
GIR1502: below EUR 1 million
GIR1503: EUR 1 million to below EUR 5 million
GIR1504: EUR 5 million to below EUR 25 million
GIR1505: EUR 25 million to below EUR 50 million
GIR1506: EUR 50 million to below EUR 75 million
GIR1507: EUR 75 million to below EUR 100 million
GIR1508: EUR 100 million to below EUR 250 million
GIR1509: EUR 250 million or above</t>
  </si>
  <si>
    <r>
      <rPr>
        <sz val="11"/>
        <color theme="1"/>
        <rFont val="맑은 고딕"/>
        <family val="2"/>
        <charset val="129"/>
        <scheme val="minor"/>
      </rPr>
      <t>적용면제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</si>
  <si>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2.1.1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</si>
  <si>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소재지국(국가명)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</si>
  <si>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2.1.2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</si>
  <si>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2.1.3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</si>
  <si>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2.1.4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</si>
  <si>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과세권이 있는 국가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</si>
  <si>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국가코드, 하위그룹 유형, 하위그룹 최상위기업 납세자번호, 하위그룹 최상위기업 납세자번호 유형, 하위그룹 최상위기업 납세자번호 발급국가코드를 컴마로 구분하여 기재
국가코드: ISO3166-alpha2
납세자번호 유형
GIR3001: Tax Identification Number
GIR3002: Functionally equivalent number
GIR3003: Agreed GIR designated number
GIR3004: Not required to be reported
하위그룹 유형
GIR1101: Constituent Entities
GIR1102: Minority-Owned Subgroup
GIR1103: Standalone MOCEs
GIR1104: Investment Entities
GIR1105: JV Group
GIR1106: Stateless Constituent Entity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</si>
  <si>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가능(세미콜론으로 구분)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</si>
  <si>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2.3.2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</si>
  <si>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준거국가</t>
    </r>
    <phoneticPr fontId="0" type="noConversion"/>
  </si>
  <si>
    <t>2.3.5</t>
    <phoneticPr fontId="0" type="noConversion"/>
  </si>
  <si>
    <t>다국적기업그룹의 최초적용연도에 준거국가 외 국가에 소재하는 구성기업의 유형자산</t>
    <phoneticPr fontId="0" type="noConversion"/>
  </si>
  <si>
    <t>소재지국과 유형자산의 순장부가액을 컴마로 연결하여 기재
국가코드: ISO3166-alpha2</t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</si>
  <si>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UTPR 배분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</si>
  <si>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3.4.3.1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</si>
  <si>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소득산입보완규칙 시행국가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</si>
  <si>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국가별 계산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</si>
  <si>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3.1.1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</si>
  <si>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국가명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</si>
  <si>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3.1.2</t>
    </r>
    <phoneticPr fontId="0" type="noConversion"/>
  </si>
  <si>
    <t>GIR1601: Constituent Entities
GIR1602: Minority-Owned Subgroup
GIR1603: Standalone MOCEs
GIR1604: Investment Entities
GIR1605: JV Group
GIR1606: Stateless Constituent Entity
GIR1607: Transitional CbCR Safe Harbour - Constituent Entities
GIR1608: Transitional CbCR Safe Harbour - JV Group
GIR1609: Transitional UTPR Safe Harbour</t>
  </si>
  <si>
    <r>
      <rPr>
        <sz val="11"/>
        <color theme="1"/>
        <rFont val="맑은 고딕"/>
        <family val="2"/>
        <charset val="129"/>
        <scheme val="minor"/>
      </rPr>
      <t>3.1.3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</si>
  <si>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하위그룹의 최상위기업 납세자번호</t>
    </r>
    <phoneticPr fontId="0" type="noConversion"/>
  </si>
  <si>
    <t>추가세액 계산</t>
    <phoneticPr fontId="2" type="noConversion"/>
  </si>
  <si>
    <t>3.3.3.1</t>
    <phoneticPr fontId="2" type="noConversion"/>
  </si>
  <si>
    <t>관련 근거</t>
    <phoneticPr fontId="2" type="noConversion"/>
  </si>
  <si>
    <t>GIR2601: Article 3.2.6
GIR2602: Article 4.4.4
GIR2603: Article 4.6.1
GIR2604: Article 4.6.4
GIR2605: Article 7.3.5
GIR2606: Article 7.3.7</t>
  </si>
  <si>
    <t>3.3.4.6</t>
    <phoneticPr fontId="2" type="noConversion"/>
  </si>
  <si>
    <t>통화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</si>
  <si>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구성기업 계산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</si>
  <si>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3.2.4(b)1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</si>
  <si>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연결납세그룹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</si>
  <si>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3.2.4(b)2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</si>
  <si>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해당 연결납세그룹에 포함된 기업</t>
    </r>
    <phoneticPr fontId="0" type="noConversion"/>
  </si>
  <si>
    <t>3.2.4.1(b)1</t>
    <phoneticPr fontId="2" type="noConversion"/>
  </si>
  <si>
    <t>해당 국가에 소재하는 구성기업 또는 공동기업그룹 기업 또는 무국적구성기업</t>
    <phoneticPr fontId="2" type="noConversion"/>
  </si>
  <si>
    <t>3.2.4.1(b)3</t>
    <phoneticPr fontId="2" type="noConversion"/>
  </si>
  <si>
    <t>조정 근거</t>
    <phoneticPr fontId="2" type="noConversion"/>
  </si>
  <si>
    <t>GIR1701: Article 3.4
GIR1702: Article 3.5.3
GIR1703: Article 3.5.1(a)
GIR1704: Article 3.5.1(b)</t>
  </si>
  <si>
    <t>3.2.4.1(b)4</t>
    <phoneticPr fontId="2" type="noConversion"/>
  </si>
  <si>
    <t>상대구성기업 또는 공동기업그룹 기업</t>
    <phoneticPr fontId="2" type="noConversion"/>
  </si>
  <si>
    <t>3.2.4.1(b)5</t>
    <phoneticPr fontId="2" type="noConversion"/>
  </si>
  <si>
    <t>상대구성기업 또는 공동기업그룹 기업의 소재지국</t>
    <phoneticPr fontId="2" type="noConversion"/>
  </si>
  <si>
    <t>3.2.4.1(c)1</t>
    <phoneticPr fontId="2" type="noConversion"/>
  </si>
  <si>
    <t>해당 국가에 소재하는 구성기업 또는 공동기업그룹 기업</t>
    <phoneticPr fontId="2" type="noConversion"/>
  </si>
  <si>
    <t>3.2.4.1(c)2</t>
    <phoneticPr fontId="2" type="noConversion"/>
  </si>
  <si>
    <t>GIR1801: Article 3.2.3
GIR1802: Article 3.2.7</t>
  </si>
  <si>
    <t>3.2.4.1(c)3</t>
    <phoneticPr fontId="2" type="noConversion"/>
  </si>
  <si>
    <t>3.2.4.1(c)4</t>
    <phoneticPr fontId="2" type="noConversion"/>
  </si>
  <si>
    <t>3.2.4.1(d)1</t>
    <phoneticPr fontId="2" type="noConversion"/>
  </si>
  <si>
    <t>3.2.4.1(d)2</t>
    <phoneticPr fontId="2" type="noConversion"/>
  </si>
  <si>
    <t>감액 근거</t>
    <phoneticPr fontId="2" type="noConversion"/>
  </si>
  <si>
    <t>GIR1901: Article 7.1.1 (a)(i)
GIR1902: Article 7.1.1 (a)(ii)
GIR1903: Article 7.1.1 (b)
GIR1904: Article 7.1.1 (c)
GIR1905: Article 7.2.1 (a)(i)
GIR1906: Article 7.2.1 (a)(ii)
GIR1907: Article 7.2.1 (a)(iii)
GIR1908: Article 7.2.1 (b)
GIR1909: Article 7.2.1 (c)
GIR1910: Article 7.2.2
GIR1999: Article 7.1.2</t>
  </si>
  <si>
    <t>3.2.4.1(d)3</t>
    <phoneticPr fontId="2" type="noConversion"/>
  </si>
  <si>
    <t>소유지분보유자 또는 배당수취자 정보</t>
    <phoneticPr fontId="2" type="noConversion"/>
  </si>
  <si>
    <t>개인:  "개인",주주수,거주지국[,세율]
법인:  "법인",납세자번호값,유형,발급국가[,세율[,ExTypeOfEntity코드]]
"" 안에 있는 개인 또는 법인은 그대로 기재하라는 뜻이며
[] 안에 있는 세율과 ExTypeOfEntity코드는 선택사항이라는 뜻입니다.
만약 법인의 경우 세율은 skip하고 ExTypeOfEntity코드는 입력하려면 ..,발급국가,,ExTypeOfEntity코드와 같은 방식으로 입력하면 됩니다.
ExTypeOfEntity코드
GIR2801: Governmental Entity
GIR2802: International Organisation
GIR2803: Non-profit Organisation
GIR2804: Pension Fund
GIR2805: Pension Fund that is not a Pension Services Entity</t>
    <phoneticPr fontId="2" type="noConversion"/>
  </si>
  <si>
    <t>3.2.4.2(b)1</t>
    <phoneticPr fontId="2" type="noConversion"/>
  </si>
  <si>
    <t>구성기업, 공동기업그룹 기업(또는 무국적구성기업) 납세자번호</t>
    <phoneticPr fontId="2" type="noConversion"/>
  </si>
  <si>
    <t>3.2.4.2(b)2</t>
    <phoneticPr fontId="2" type="noConversion"/>
  </si>
  <si>
    <t>GIR2301: Article 4.3.2 (a)
GIR2302: Article 4.3.2 (b)
GIR2303: Article 4.3.2 (c)
GIR2304: Article 4.3.2 (d)
GIR2305: Article 4.3.2 (e)
GIR2306: Article 4.3.3 (a)
GIR2307: Article 4.3.3 (b)
GIR2308: Article 4.3.4
GIR2309: Article 4.3.2(c) - Blended CFC regime</t>
  </si>
  <si>
    <t>3.2.4.2(b)3</t>
    <phoneticPr fontId="2" type="noConversion"/>
  </si>
  <si>
    <t>상대 구성기업(또는 공동기업그룹 기업) 납세자번호</t>
    <phoneticPr fontId="2" type="noConversion"/>
  </si>
  <si>
    <t>3.2.4.2(b)4</t>
    <phoneticPr fontId="2" type="noConversion"/>
  </si>
  <si>
    <t>상대 구성기업(또는 공동기업그룹 기업) 소재지국</t>
    <phoneticPr fontId="2" type="noConversion"/>
  </si>
  <si>
    <t>3.2.4.3.1</t>
    <phoneticPr fontId="2" type="noConversion"/>
  </si>
  <si>
    <t>선택적용 대상 구성기업 납세자번호</t>
    <phoneticPr fontId="2" type="noConversion"/>
  </si>
  <si>
    <t>3.2.4.3.6k1</t>
    <phoneticPr fontId="2" type="noConversion"/>
  </si>
  <si>
    <t>3.2.4.4(a)1</t>
    <phoneticPr fontId="2" type="noConversion"/>
  </si>
  <si>
    <t>본 소재지국 구성기업 납세자번호</t>
    <phoneticPr fontId="2" type="noConversion"/>
  </si>
  <si>
    <t>3.2.4.4(a)2</t>
    <phoneticPr fontId="2" type="noConversion"/>
  </si>
  <si>
    <t>유형</t>
    <phoneticPr fontId="2" type="noConversion"/>
  </si>
  <si>
    <t>GIR2101: Article 3.3.2.a
GIR2102: Article 3.3.2.b
GIR2103: Article 3.3.2.c
GIR2104: Article 3.3.2.d
GIR2105: Article 3.3.2.e
GIR2106: Article 3.3.2.f</t>
  </si>
  <si>
    <t>가능(컴마로 구분)</t>
    <phoneticPr fontId="2" type="noConversion"/>
  </si>
  <si>
    <t>3.2.4.4(a)6</t>
    <phoneticPr fontId="2" type="noConversion"/>
  </si>
  <si>
    <t>GIR2201: Article 3.3.3.a
GIR2202: Article 3.3.3.b
GIR2203: Article 3.3.3.c
GIR2204: Article 3.3.3.d
GIR2205: Article 3.3.3.e</t>
  </si>
  <si>
    <t>3.2.4.5.1</t>
    <phoneticPr fontId="2" type="noConversion"/>
  </si>
  <si>
    <t>선택대상인 주주구성기업 (또는 주주인 공동기업그룹 기업)</t>
    <phoneticPr fontId="2" type="noConversion"/>
  </si>
  <si>
    <t>3.2.4.5.2</t>
    <phoneticPr fontId="2" type="noConversion"/>
  </si>
  <si>
    <t>선택대상 투자기업</t>
    <phoneticPr fontId="2" type="noConversion"/>
  </si>
  <si>
    <t>3.2.4.6.1</t>
    <phoneticPr fontId="2" type="noConversion"/>
  </si>
  <si>
    <t>최종모기업의 연결재무제표 작성 회계기준 외의 회계기준에 따라 계산된 회계상 순손익을 사용하는 구성기업(또는 공동기업그룹 기업)의 납세자번호</t>
    <phoneticPr fontId="2" type="noConversion"/>
  </si>
  <si>
    <t>추가세액</t>
    <phoneticPr fontId="2" type="noConversion"/>
  </si>
  <si>
    <t>3.4.1.1a</t>
    <phoneticPr fontId="2" type="noConversion"/>
  </si>
  <si>
    <t>저율과세구성기업 또는 저율과세 공동기업그룹 기업의 납세자번호</t>
    <phoneticPr fontId="2" type="noConversion"/>
  </si>
  <si>
    <t>3.4.1.2~3.4.1.3</t>
    <phoneticPr fontId="2" type="noConversion"/>
  </si>
  <si>
    <t>적격소득산입규칙을
   적용해야 하는 모기업 ~ 소득산입규칙
   추가세액</t>
    <phoneticPr fontId="2" type="noConversion"/>
  </si>
  <si>
    <t>모기업 납세자번호, 납세자번호 유형, 발급국가, 모기업 소재지국, 모기업 외의 다른 소유지분 보유자에게 귀속되는 글로벌최저한세소득, 모기업의 소득산입비율, 모기업의 추가세액배분액, 모기업의 추가세액배분액의 차감액, 모기업이 납부할 추가세액 합계를 콤마로 연결</t>
    <phoneticPr fontId="2" type="noConversion"/>
  </si>
  <si>
    <t>가능(세미콜론으로 구분)</t>
    <phoneticPr fontId="2" type="noConversion"/>
  </si>
  <si>
    <t>3.4.1.2a</t>
    <phoneticPr fontId="2" type="noConversion"/>
  </si>
  <si>
    <t>모기업</t>
    <phoneticPr fontId="2" type="noConversion"/>
  </si>
  <si>
    <t>3.4.1.2b</t>
    <phoneticPr fontId="2" type="noConversion"/>
  </si>
  <si>
    <t>모기업 소재지국</t>
    <phoneticPr fontId="2" type="noConversion"/>
  </si>
  <si>
    <t>3.4.2.1</t>
    <phoneticPr fontId="2" type="noConversion"/>
  </si>
  <si>
    <t>「국제조세조정에 관한 법률」 제73조제3항제1호에 해당하지 않는 저율과세구성기업 또는 저율과세 공동기업그룹 기업의 납세자번호</t>
    <phoneticPr fontId="2" type="noConversion"/>
  </si>
  <si>
    <t>W</t>
    <phoneticPr fontId="2" type="noConversion"/>
  </si>
  <si>
    <t>목차</t>
    <phoneticPr fontId="2" type="noConversion"/>
  </si>
  <si>
    <t>국제조세조정에 관한 법률 시행규칙 [별지 제53호서식 부표 2] (2026. 3. 20. 개정)</t>
  </si>
  <si>
    <t>서식 페이지</t>
    <phoneticPr fontId="2" type="noConversion"/>
  </si>
  <si>
    <t>링크</t>
    <phoneticPr fontId="2" type="noConversion"/>
  </si>
  <si>
    <t>1. 다국적기업그룹 정보</t>
  </si>
  <si>
    <t>MNE그룹 정보</t>
  </si>
  <si>
    <t>1.1 신고구성기업 정보</t>
  </si>
  <si>
    <t>1.2 다국적기업그룹 일반정보</t>
  </si>
  <si>
    <t>1.2.1 다국적기업그룹과 신고대상 사업연도</t>
  </si>
  <si>
    <t>1.2.2 다국적기업그룹 일반 회계정보</t>
  </si>
  <si>
    <t>1.3 기업구조</t>
  </si>
  <si>
    <t>1.3.1 최종모기업</t>
  </si>
  <si>
    <t>최종모기업</t>
  </si>
  <si>
    <t>1.3.2 그룹 기업(최종모기업 제외) 및 공동기업그룹 기업</t>
  </si>
  <si>
    <t>그룹구조</t>
  </si>
  <si>
    <t>1.3.2.1 구성기업 및 공동기업그룹 기업</t>
  </si>
  <si>
    <t>1.3.2.2 제외기업</t>
  </si>
  <si>
    <t>제외기업</t>
  </si>
  <si>
    <t xml:space="preserve">1.3.3 신고대상 사업연도 중 기업구조 변동	</t>
  </si>
  <si>
    <t>그룹구조 변동</t>
  </si>
  <si>
    <t>1.4 글로벌최저한세 정보 요약</t>
  </si>
  <si>
    <t>요약</t>
  </si>
  <si>
    <t>2. 국가별 적용면제 및 제외</t>
  </si>
  <si>
    <t>적용면제</t>
  </si>
  <si>
    <t>국가별 적용면제 및 제외 - 국가별 기재
신고구성기업은 글로벌최저한세 계산의 적용면제 및 제외가 적용되는 각 국가별로 제4쪽 및 제5쪽을 작성합니다.</t>
  </si>
  <si>
    <t>2.1 국가별 기본사항</t>
  </si>
  <si>
    <t>2.2 해당 국가별 적용되는 적용면제 및 제외(추가세액=0)</t>
  </si>
  <si>
    <t>2.2.1 적용면제 국가 선택</t>
  </si>
  <si>
    <t>2.2.1.1 적용면제 선택</t>
  </si>
  <si>
    <t>2.2.1.2 일반적 적용면제</t>
  </si>
  <si>
    <t>2.2.1.3 전환기 적용면제</t>
  </si>
  <si>
    <t>2.2.2 최소적용제외 특례 선택</t>
  </si>
  <si>
    <t>2.3 해외진출 초기 다국적기업그룹에 대한 특례(해당되는 경우)</t>
  </si>
  <si>
    <t>3. 글로벌최저한세 계산</t>
  </si>
  <si>
    <t>국가별 계산</t>
  </si>
  <si>
    <t>3.1 국가별 글로벌최저한세 계산 기본사항</t>
  </si>
  <si>
    <t>3.2 실효세율 계산</t>
  </si>
  <si>
    <t>3.2.1 실효세율</t>
  </si>
  <si>
    <t>3.2.1.1 글로벌최저한세소득ㆍ결손 계산</t>
  </si>
  <si>
    <t>1.「국제조세조정에 관한 법률」 제66조제4항부터 제7항까지의 규정에 따른 배분 후 회계상 순손익 합계(국가별 소재한 모든 구성기업)</t>
  </si>
  <si>
    <t>2. 조정사항</t>
  </si>
  <si>
    <t>3. 해당 국가의 순글로벌최저한세소득</t>
  </si>
  <si>
    <t>3.2.1.2 조정대상조세 계산</t>
  </si>
  <si>
    <t>(a) 조정대상조세 합계</t>
  </si>
  <si>
    <t>1. 「국제조세조정에 관한 법률 시행령」 제111조에 따른 배분 후 당기법인세비용 합계</t>
  </si>
  <si>
    <t>3. 조정대상조세</t>
  </si>
  <si>
    <t>(b) 이월조정대상조세</t>
  </si>
  <si>
    <t>(c) 통합형피지배외국법인과세제도 관련 계산(해당되는 경우)</t>
  </si>
  <si>
    <t>3.2.2 국가별 이연법인세회계 관련 계산</t>
  </si>
  <si>
    <t>3.2.2.1 이연법인세 조정</t>
  </si>
  <si>
    <t>(a) 요약표</t>
  </si>
  <si>
    <t>(b) 조정내역</t>
  </si>
  <si>
    <t>1. 이연법인세비용의 조정</t>
  </si>
  <si>
    <t>2. 조정금액합계</t>
  </si>
  <si>
    <t>(c) 결손금 소급공제</t>
  </si>
  <si>
    <t>3.2.2.2 환입금액 계산</t>
  </si>
  <si>
    <t>(a) 이연법인세부채 환입 적용대상인 연간 이연법인세부채 금액</t>
  </si>
  <si>
    <t>(b) 총 이연법인세부채 환입 계정</t>
  </si>
  <si>
    <t>3.2.2.3 최초적용연도에 대한 특례</t>
  </si>
  <si>
    <t>(a)「국제조세조정에 관한 법률」 제81조 및 같은 법 시행령 제139조 적용</t>
  </si>
  <si>
    <t>(b) 「국제조세조정에 관한 법률 시행규칙」 제89조의 적용</t>
  </si>
  <si>
    <t>3.2.3 국가별 선택(해당되는 경우)</t>
  </si>
  <si>
    <t>3.2.3.1 국가별 선택(「국제조세조정에 관한 법률」 제78조에 따른 적격분배과세제도 특례 외)</t>
  </si>
  <si>
    <t>(a) 선택 내역</t>
  </si>
  <si>
    <t xml:space="preserve"> (b) 국가별 선택과 관련된 필요정보</t>
  </si>
  <si>
    <t>3.2.3.2 「국제조세조정에 관한 법률」 제78조에 따른 선택</t>
  </si>
  <si>
    <t>(a) 같은 법 시행령 제134조제2항, 같은 조 제4항부터 제8항까지 및 같은 법 시행규칙 제83조제1항에 따른 간주분배세액환입계정의 운용 방법 등</t>
  </si>
  <si>
    <t>(b) 간주분배세액 선택 구성기업의 이탈 등에 대한 「국제조세조정에 관한 법률 시행규칙」 제83조제2항부터 제4항까지의 적용</t>
  </si>
  <si>
    <t>3.2.4 구성기업(공동기업그룹 기업)별 계산</t>
  </si>
  <si>
    <t>구성기업 계산</t>
  </si>
  <si>
    <t>(a) 전환기 국가별 간소화 신고체계 선택</t>
  </si>
  <si>
    <t>(b) 연결납세그룹에 대한 통합신고</t>
  </si>
  <si>
    <t>3.2.4.1 글로벌최저한세소득ㆍ결손</t>
  </si>
  <si>
    <t>(a) 회계상 순손익에 대한 조정</t>
  </si>
  <si>
    <t>1. 구성기업 또는 공동기업그룹 기업의 납세자번호</t>
  </si>
  <si>
    <t>2. 「국제조세조정에 관한 법률」 제66조제4항부터 제7항까지 및 같은 법 시행령 제107조ㆍ제108조에 따른 배분 후 회계상 순손익</t>
  </si>
  <si>
    <t>3. 조정사항</t>
  </si>
  <si>
    <t>4. 구성기업 또는 공동기업그룹 기업의 글로벌최저한세소득ㆍ결손</t>
  </si>
  <si>
    <t>(b) 본점과 고정사업장간 손익의 국가간 배분 및 투과기업 손익의 국가간 배분 (「국제조세조정에 관한 법률」 제66조제4항부터 제7항까지 및 같은 법 시행령 제107조ㆍ제108조)</t>
  </si>
  <si>
    <t>(c) 국가간 손익 조정</t>
  </si>
  <si>
    <t>(d) 「국제조세조정에 관한 법률」 제77조의2에 따른 최종모기업의 글로벌최저한세소득 감액</t>
  </si>
  <si>
    <t xml:space="preserve">3.2.4.2 조정대상조세 </t>
  </si>
  <si>
    <t>(a) 회계상 당기법인세비용 조정</t>
  </si>
  <si>
    <t>2.「국제조세조정에 관한 법률 시행령」 제111조에 따른 배분 후 당기법인세비용</t>
  </si>
  <si>
    <t xml:space="preserve">3. 조정사항 </t>
  </si>
  <si>
    <t>4. 조정대상조세</t>
  </si>
  <si>
    <t>(b) 대상조세 국가간 배분</t>
  </si>
  <si>
    <t>(c) 이연법인세</t>
  </si>
  <si>
    <t>2. 이연법인세비용 금액(글로벌최저한세 기준)</t>
  </si>
  <si>
    <t>3. 이연법인세비용의 조정</t>
  </si>
  <si>
    <t>4. 최저한세율보다 낮은 세율로 계상된 이연법인세비용과 최저한세율로 재계산된 이연법인세비용의 차이 금액</t>
  </si>
  <si>
    <t>5. 최저한세율보다 높은 세율로 계상된 이연법인세비용과 최저한세율로 재계산된 이연법인세비용의 차이 금액</t>
  </si>
  <si>
    <t>6. 총이연법인세조정금액</t>
  </si>
  <si>
    <t>3.2.4.3 구성기업(또는 공동기업그룹 기업)별 선택</t>
  </si>
  <si>
    <t>3.2.4.4 국제해운소득ㆍ결손 제외</t>
  </si>
  <si>
    <t>(a) 국제해운소득ㆍ결손 제외</t>
  </si>
  <si>
    <t>(b) 적격국제해운부수소득ㆍ결손에 대한 국가별 한도</t>
  </si>
  <si>
    <t>3.2.4.5 과세분배방법 적용 선택 관련 정보(해당되는 경우)</t>
  </si>
  <si>
    <t>3.2.4.6. 그 밖의 회계기준</t>
  </si>
  <si>
    <t>3.3 추가세액 계산</t>
  </si>
  <si>
    <t>3.3.1 추가세액</t>
  </si>
  <si>
    <t>3.3.2 실질기반제외소득의 계산(해당되는 경우)</t>
  </si>
  <si>
    <t>3.3.2.1 실질기반제외소득 합계</t>
  </si>
  <si>
    <t>3.3.3 당기추가세액가산액</t>
  </si>
  <si>
    <t>3.3.3.1 「국제조세조정에 관한 법률 시행령」 제119조제2항 외의 당기추가세액가산액</t>
  </si>
  <si>
    <t>3.3.3.2 「국제조세조정에 관한 법률 시행령」 제119조제2항에 따른 당기추가세액가산액</t>
  </si>
  <si>
    <t>3.3.4 적격소재국추가세액</t>
  </si>
  <si>
    <t>3.4 추가세액 배분과 귀속</t>
  </si>
  <si>
    <t>3.4.1 해당 국가에 대한 소득산입규칙의 적용</t>
  </si>
  <si>
    <t>3.4.2 해당 소재지국에 대한 소득산입보완규칙 추가세액</t>
  </si>
  <si>
    <t>3.4.3 소득산입보완규칙 추가세액 배분</t>
  </si>
  <si>
    <t>기업명</t>
    <phoneticPr fontId="2" type="noConversion"/>
  </si>
  <si>
    <t>국가명</t>
    <phoneticPr fontId="2" type="noConversion"/>
  </si>
  <si>
    <t>하위그룹 유형</t>
    <phoneticPr fontId="2" type="noConversion"/>
  </si>
  <si>
    <t>하위그룹 최상위기업
납세자번호</t>
    <phoneticPr fontId="2" type="noConversion"/>
  </si>
  <si>
    <t>사 업 
연 도</t>
  </si>
  <si>
    <t>글로벌최저한세정보신고서</t>
  </si>
  <si>
    <t>법인명(상호)</t>
  </si>
  <si>
    <t>~</t>
  </si>
  <si>
    <t>사업자등록번호</t>
  </si>
  <si>
    <t>1. 최종모기업 여부</t>
  </si>
  <si>
    <t>2. 신고구성기업 상호</t>
  </si>
  <si>
    <t>3. 납세자번호</t>
  </si>
  <si>
    <t>4. 신고구성기업 지위</t>
  </si>
  <si>
    <t>5. 신고구성기업 소재지국</t>
  </si>
  <si>
    <t>6. 연례 자동정보 교환당사국
(해당되는 경우)</t>
  </si>
  <si>
    <t>여</t>
  </si>
  <si>
    <t>1. 다국적기업그룹 명칭</t>
  </si>
  <si>
    <t>2. 신고대상 사업연도 개시일</t>
  </si>
  <si>
    <t>3. 신고대상 사업연도 종료일</t>
  </si>
  <si>
    <t>4. 수정신고서 여부</t>
  </si>
  <si>
    <t>부</t>
  </si>
  <si>
    <t>1. 최종모기업 연결재무제표(유형)</t>
  </si>
  <si>
    <t>2. 최종모기업 연결재무제표 회계기준</t>
  </si>
  <si>
    <t>3. 최종모기업 연결재무제표 통화(ISO 코드)</t>
  </si>
  <si>
    <t>1. 최종모기업 소재지국</t>
  </si>
  <si>
    <t>2. 적용가능규칙</t>
  </si>
  <si>
    <t>3. 최종모기업 상호</t>
  </si>
  <si>
    <t>4. 최종모기업 납세자번호</t>
  </si>
  <si>
    <t>5. 신고 접수 국가에서 최종모기업에 부여한 납세자번호
   (4의 납세자번호와 다른 납세자번호를 부여받은 경우)</t>
  </si>
  <si>
    <t>6. 글로벌최저한세 목적상 기업유형</t>
  </si>
  <si>
    <t>7. 제외기업 유형(제외기업에 해당하는 경우)</t>
  </si>
  <si>
    <t>8.「국제조세조정에 관한 법률 시행령」 제103조제4항 적용 국가에 해당되는 경우</t>
  </si>
  <si>
    <t>변동사항</t>
  </si>
  <si>
    <t xml:space="preserve">1. 직전 신고대상 사업연도 대비 변동 여부 </t>
  </si>
  <si>
    <t>소재지국</t>
  </si>
  <si>
    <t>2. 소재지국</t>
  </si>
  <si>
    <t>3. 적용가능규칙</t>
  </si>
  <si>
    <t>구성기업, 공동기업 또는 공동기업 자회사 정보</t>
  </si>
  <si>
    <t>4. 구성기업, 공동기업 또는 공동기업 자회사의 상호</t>
  </si>
  <si>
    <t>5. 납세자번호</t>
  </si>
  <si>
    <t>6. 신고 접수 국가의 납세자번호(있는 경우)</t>
  </si>
  <si>
    <t>7. 글로벌최저한세 목적상 기업유형</t>
  </si>
  <si>
    <t>구성기업, 공동기업 및 공동기업 자회사의 소유지분구조</t>
  </si>
  <si>
    <t>구성기업, 공동기업 또는 공동기업 자회사의 소유지분을 보유하고 있는 각 기업의 정보:</t>
  </si>
  <si>
    <t xml:space="preserve">8. 유형 </t>
  </si>
  <si>
    <t>9. 납세자번호(구성기업 또는 공동기업그룹 기업인 경우)</t>
  </si>
  <si>
    <t xml:space="preserve">10. 소유지분(%) </t>
  </si>
  <si>
    <t>구성기업이 부분소유모기업 또는 중간모기업인 경우 해당 구성기업에 적격소득산입규칙이 적용되는지 여부</t>
  </si>
  <si>
    <t>11. 모기업 유형</t>
  </si>
  <si>
    <t>12. 최종모기업 또는 다른 중간모기업에 소득산입규칙이 적용되는 경우 해당 최종모기업 또는 중간모기업의 납세자번호(「국제조세조정에 관한 법률」 제72조제3항 및 제4항)</t>
  </si>
  <si>
    <t>13. 다른 부분소유모기업에 적격소득산입규칙이 적용되는 경우 해당 부분소유모기업의 납세자번호(「국제조세조정에 관한 법률」 제72조제6항)</t>
  </si>
  <si>
    <t>해당 기업에 적격소득산입보완규칙이 적용되는지 여부</t>
  </si>
  <si>
    <t>14. 해외진출 초기의 다국적기업그룹에 대한 특례가 적용되는지 여부(「국제조세조정에 관한 법률」 제82조)</t>
  </si>
  <si>
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</si>
  <si>
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</si>
  <si>
    <t>1. 직전 신고대상 사업연도 대비 변동 여부</t>
  </si>
  <si>
    <t>2. 제외기업 상호</t>
  </si>
  <si>
    <t>3. 제외기업 유형</t>
  </si>
  <si>
    <t>1.3.3 신고대상 사업연도 중 기업구조 변동</t>
  </si>
  <si>
    <t>a.</t>
  </si>
  <si>
    <t>2. 납세자번호</t>
  </si>
  <si>
    <t>3. 변동효력
발생일</t>
  </si>
  <si>
    <t>4. 변동 전 글로벌
최저한세목적상
기업 유형</t>
  </si>
  <si>
    <t>6. 변동 전 또는 변동 후
해당 구성기업(또는, 
다른 기업) 또는 공동기업
그룹 기업의 소유 지분을
보유하는 기업</t>
  </si>
  <si>
    <t>7. 변동 전 해당 구성기업
(또는 다른 기업) 또는
공동기업그룹 기업의 소유
지분을 보유했던 기업의
소유지분(%)</t>
  </si>
  <si>
    <t>1. 소재지국</t>
  </si>
  <si>
    <t>2. 하위그룹 유형
(있는 경우)</t>
  </si>
  <si>
    <t>3. 하위그룹 최상위
기업 납세자번호
(있는 경우)</t>
  </si>
  <si>
    <t>4. 글로벌최저한세
과세권이 있는
국가명</t>
  </si>
  <si>
    <t>5. 적용면제 또는
 제외 사유
(항목선택)</t>
  </si>
  <si>
    <t>6. 실효세율
범위</t>
  </si>
  <si>
    <t>7. 실질기반제외소득 
적용결과 추가세액 
발생여부</t>
  </si>
  <si>
    <t>9. 추가세액(글로벌
최저한세) 범위</t>
  </si>
  <si>
    <t>1. 소재지국(국가명)</t>
  </si>
  <si>
    <t>2. 하위그룹 유형(있는 경우)</t>
  </si>
  <si>
    <t>3. 하위그룹 최상위기업 납세자번호(있는 경우)</t>
  </si>
  <si>
    <t>4. 과세권이 있는 국가</t>
  </si>
  <si>
    <t>5. 보고내용에 차이가 존재하는지 여부</t>
  </si>
  <si>
    <t>1. 적용면제 유형 선택</t>
  </si>
  <si>
    <t>(a) 중요성이 낮은 구성기업에 대한 간소화 계산</t>
  </si>
  <si>
    <t>1. 해당 국가 내 중요성이 낮은 구성기업의 총수익금액 합계</t>
  </si>
  <si>
    <t>2. 해당 국가 내 중요성이 낮은 구성기업의 간이세액 합계</t>
  </si>
  <si>
    <t>a. 신고대상 사업연도</t>
  </si>
  <si>
    <t>b. 직전 사업연도(해당되는 경우)</t>
  </si>
  <si>
    <t>c. 직전전 사업연도(해당되는 경우)</t>
  </si>
  <si>
    <t>d. 3개 사업연도 평균(해당되는 경우)</t>
  </si>
  <si>
    <t>(a) 전환기 적용면제</t>
  </si>
  <si>
    <t>1. 총수익금액</t>
  </si>
  <si>
    <t>2. 세전손익금액</t>
  </si>
  <si>
    <t>3. 간이 대상조세 금액(「국제조세조정에 관한 법률 시행규칙」 제86조제5항 및 제7항)</t>
  </si>
  <si>
    <t>(b) 소득산입보완규칙 전환기 적용면제</t>
  </si>
  <si>
    <t>1. 법인세 명목세율</t>
  </si>
  <si>
    <t>■ 신고대상 사업연도에 대한 최소적용제외 특례 선택</t>
  </si>
  <si>
    <t>□ 중요성이 낮은 구성기업에 대한 간소화 계산을 하는 경우 - 중요성이 낮은 구성기업 외의 일반 구성기업에 대한 최소적용제외 특례 선택</t>
  </si>
  <si>
    <t>1. 회계상 매출액</t>
  </si>
  <si>
    <t xml:space="preserve">2. 글로벌최저한세 규칙상 매출액 </t>
  </si>
  <si>
    <t>3. 회계상 순이익(순손실)</t>
  </si>
  <si>
    <t>4. 글로벌최저한세소득(또는 결손)</t>
  </si>
  <si>
    <t>d. 3개 사업연도 평균</t>
  </si>
  <si>
    <t>1. 다국적기업그룹의 최초적용연도 개시일</t>
  </si>
  <si>
    <t>2. 준거국가</t>
  </si>
  <si>
    <t>3. 다국적기업그룹의 최초적용연도에 준거국가에 소재하는 유형자산의 순장부가액 합계</t>
  </si>
  <si>
    <t>4. 다국적기업그룹의 최초적용연도에 구성기업이 소재하는 국가 수</t>
  </si>
  <si>
    <t>5. 다국적기업그룹의 최초적용연도에 준거국가 외 국가에 소재하는 구성기업의 유형자산</t>
  </si>
  <si>
    <t>6. 신고대상 사업연도에 다국적기업그룹의 구성기업이 소재한 국가 수</t>
  </si>
  <si>
    <t>7. 신고대상 사업연도에 준거국가 외 국가에 소재하는 모든 구성기업의 유형자산 순장부가액 합계</t>
  </si>
  <si>
    <t>1.소득산입보완규칙
시행국가</t>
  </si>
  <si>
    <t>3. 종업원 수</t>
  </si>
  <si>
    <t>4.유형자산
순장부가액</t>
  </si>
  <si>
    <t>5.소득산입보완규칙
배분비율</t>
  </si>
  <si>
    <t>6.신고대상사업연도
소득산입보완규칙
추가세액배분액</t>
  </si>
  <si>
    <t>7.소득산입보완규칙
시행국가의 구성
기업에서 발생한 
추가 현금조세비용</t>
  </si>
  <si>
    <t>8.소득산입보완규칙
추가세액 
차기이월액</t>
  </si>
  <si>
    <t>합계</t>
  </si>
  <si>
    <t>글로벌최저한세 계산 - 국가별 기재
신고구성기업은 글로벌최저한세 계산의 적용면제 및 제외가 적용되지 않는 각 국가별(또는 별도 계산이 필요한 하위그룹별)로 제6쪽부터 제25쪽까지를 작성합니다.</t>
  </si>
  <si>
    <t xml:space="preserve"> 1. 국가명</t>
  </si>
  <si>
    <t xml:space="preserve"> 2. 하위그룹 유형(있는 경우)</t>
  </si>
  <si>
    <t xml:space="preserve"> 3. 실효세율 및 추가세액 계산이 필요한 하위그룹의 최상위기업 납세자번호(있는 경우)</t>
  </si>
  <si>
    <t xml:space="preserve"> 4. 과세권이 있는 국가</t>
  </si>
  <si>
    <t xml:space="preserve"> 5. 실효세율</t>
  </si>
  <si>
    <t xml:space="preserve"> 6. 조정대상조세</t>
  </si>
  <si>
    <t xml:space="preserve"> 7. 순글로벌최저한세소득금액</t>
  </si>
  <si>
    <t xml:space="preserve"> 8. 실질기반제외소득금액</t>
  </si>
  <si>
    <t xml:space="preserve"> 9. 당기추가세액가산액</t>
  </si>
  <si>
    <t xml:space="preserve"> 10. 과세권 국가에 납부하는 추가세액</t>
  </si>
  <si>
    <t xml:space="preserve"> 11. 국가별 선택</t>
  </si>
  <si>
    <t xml:space="preserve"> 12.「국제조세조정에 관한 법률 시행령」 제111조에 따른 배분 후 당기법인세비용 합계</t>
  </si>
  <si>
    <t xml:space="preserve"> 13. 적격환급가능세액공제 또는 적격양도가능세액공제(법인세비용)</t>
  </si>
  <si>
    <t xml:space="preserve"> 14. 기타 세액공제(법인세비용)</t>
  </si>
  <si>
    <t xml:space="preserve"> 15. 이연법인세비용</t>
  </si>
  <si>
    <t xml:space="preserve"> 16. 적격환급가능세액공제 또는 적격양도가능세액공제(소득)</t>
  </si>
  <si>
    <t xml:space="preserve"> 17. 이월조정대상조세</t>
  </si>
  <si>
    <t xml:space="preserve"> 18. 최초적용연도에 대한 특례</t>
  </si>
  <si>
    <t>a. 회계상 순이익(또는 순손실)</t>
  </si>
  <si>
    <t>b. 순글로벌최저한세소득</t>
  </si>
  <si>
    <t>c. 법인세비용</t>
  </si>
  <si>
    <t>d. 조정대상조세</t>
  </si>
  <si>
    <t>e. 실효세율</t>
  </si>
  <si>
    <t>순 조정금액</t>
  </si>
  <si>
    <t xml:space="preserve"> (a) 순조세비용의 가산(「국제조세조정에 관한 법률 시행규칙」 별표 1 제1호)</t>
  </si>
  <si>
    <t xml:space="preserve"> (b) 배당수익의 차감(「국제조세조정에 관한 법률 시행규칙」 별표 1 제2호)</t>
  </si>
  <si>
    <t xml:space="preserve"> (c) 지분손익의 조정(「국제조세조정에 관한 법률 시행규칙」 별표 1 제4호)</t>
  </si>
  <si>
    <t xml:space="preserve"> (d) 재평가손익의 조정(「국제조세조정에 관한 법률 시행규칙」 별표 1 제5호)</t>
  </si>
  <si>
    <t xml:space="preserve"> (e) 글로벌최저한세조직재편에 대한 특례(「국제조세조정에 관한 법률」 제76조 및 「국세조세조정에 관한 법률 시행령」 제129조)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</si>
  <si>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</si>
  <si>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</si>
  <si>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</si>
  <si>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</si>
  <si>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</si>
  <si>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</si>
  <si>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</si>
  <si>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</si>
  <si>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</si>
  <si>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</si>
  <si>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</si>
  <si>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(q) 그룹내부금융약정비용의 조정(「국제조세조정에 관한 법률 시행규칙」 별표 1 제9호)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</si>
  <si>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</si>
  <si>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</si>
  <si>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</si>
  <si>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(u) 조직재편시 구성기업의 처리(「국제조세조정에 관한 법률 시행령」 제128조)</t>
  </si>
  <si>
    <t xml:space="preserve"> (v) 투과기업인 최종모기업에 대한 특례(「국제조세조정에 관한 법률」 제77조의2제2항 및 「국제조세조정에 관한 법률 시행령」 제133조)</t>
  </si>
  <si>
    <t xml:space="preserve"> (w) 배당공제제도를 적용받는 최종모기업에 대한 특례(「국제조세조정에 관한 법률」 제77조의2제1항 및 「국제조세조정에 관한 법률 시행령」 제132조)</t>
  </si>
  <si>
    <t xml:space="preserve"> (x) 과세분배방법 적용 선택에 따른 조정(「국제조세조정에 관한 법률」 제79조제6항 및 「국제조세조정에 관한 법률 시행령」 제137조)</t>
  </si>
  <si>
    <t xml:space="preserve"> (y) 국제해운소득ㆍ결손(「국제조세조정에 관한 법률」 제66조제3항 및 「국제조세조정에 관한 법률 시행령」 제106조)</t>
  </si>
  <si>
    <t xml:space="preserve"> (z) 구성기업 간 자산거래(「국제조세조정에 관한 법률 시행규칙」 제89조제4항 및 제6항)</t>
  </si>
  <si>
    <t xml:space="preserve"> (a) 회계상 세전이익 계산에서 비용으로 계상된 대상조세(「국제조세조정에 관한 법률 시행령」 제110조제1호가목)</t>
  </si>
  <si>
    <t xml:space="preserve"> (b) 결손취급특례 선택에 따른 결손취급특례이연법인세 자산의 설정 또는 사용
     (「국제조세조정에 관한 법률」 제67조제4항 및 같은 법 시행령 제113조의3)</t>
  </si>
  <si>
    <t xml:space="preserve"> (c) 이전 사업연도에 대상조세 차감으로 처리되었던 불확실한 세무처리 항목 관련 대상조세의 당기 납부
     (「국제조세조정에 관한 법률 시행령」 제110조제1호나목)</t>
  </si>
  <si>
    <t xml:space="preserve"> (d) 당기법인세비용에서 차감된 적격환급가능세액공제 또는 적격양도가능세액공제(「국제조세조정에 관한 법률 시행령」 제110조제1호다목)</t>
  </si>
  <si>
    <t xml:space="preserve"> (e) 적격 소유지분에 의한 적격투과조세혜택(「국제조세조정에 관한 법률 시행규칙」 별표 1 제4호사목, 아목, 자목 및 차목)</t>
  </si>
  <si>
    <t xml:space="preserve"> (f) 글로벌최저한세소득ㆍ결손 계산에서 제외되는 소득에 대한 당기법인세비용(「국제조세조정에 관한 법률 시행령」 제110조제2호가목)</t>
  </si>
  <si>
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</si>
  <si>
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</si>
  <si>
    <t xml:space="preserve"> (i) 불확실한 세무처리 항목 관련 당기법인세비용(「국제조세조정에 관한 법률 시행령」 제110조제2호마목)</t>
  </si>
  <si>
    <t xml:space="preserve"> (j) 사업연도 종료일부터 3년 이내에 납부되지 않을 것으로 예상되는 당기법인세비용(「국제조세조정에 관한 법률 시행령」 제110조제2호바목)</t>
  </si>
  <si>
    <t xml:space="preserve"> (k) 신고 후 조정(「국제조세조정에 관한 법률」 제68조제1항 및 제2항)</t>
  </si>
  <si>
    <t xml:space="preserve"> (l) 총자산처분이익 조정 선택을 한 경우의 자산처분순손익 관련 대상조세(「국제조세조정에 관한 법률 시행규칙」 별표 1 제10호)</t>
  </si>
  <si>
    <t xml:space="preserve"> (m) 투과기업인 최종모기업의 대상조세 감액(「국제조세조정에 관한 법률 시행령」 제133조제3항 및 제4항)</t>
  </si>
  <si>
    <t xml:space="preserve"> (n) 배당공제제도 적용 최종모기업의 차감된 글로벌최저한세소득금액 관련 대상조세(「국제조세조정에 관한 법률 시행령」 제132조)</t>
  </si>
  <si>
    <t xml:space="preserve"> (o) 간주분배세액(「국제조세조정에 관한 법률 시행령」 제134조제7항)</t>
  </si>
  <si>
    <t xml:space="preserve"> (p) 과세분배방법 적용 선택(「국제조세조정에 관한 법률 시행령」 제137조)</t>
  </si>
  <si>
    <t xml:space="preserve"> (q) 총이연법인세조정금액(「국제조세조정에 관한 법률」 제67조제2항, 제3항 및 제7항)</t>
  </si>
  <si>
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</si>
  <si>
    <t xml:space="preserve"> (s) 이월조정대상조세 발생(「국제조세조정에 관한 법률 시행령」 제116조의2 및 제119조제3항)</t>
  </si>
  <si>
    <t xml:space="preserve"> (t) 이월조정대상조세 금액에 의한 조정대상조세 차감(‘0’을 한도로 한다)(「국제조세조정에 관한 법률 시행령」 제116조의2 및 119조제3항)</t>
  </si>
  <si>
    <t xml:space="preserve"> 1. 이전 사업연도에서 이월된 잔액</t>
  </si>
  <si>
    <t xml:space="preserve"> 2. 신고대상 사업연도 이월조정대상조세 발생액</t>
  </si>
  <si>
    <t xml:space="preserve"> 3. 신고대상 사업연도 이월조정대상조세 사용액</t>
  </si>
  <si>
    <t xml:space="preserve"> 4. 다음 사업연도로 이월되는 이월조정대상조세 잔액</t>
  </si>
  <si>
    <t>1. 피지배외국법인소재지국</t>
  </si>
  <si>
    <t>2. 하위그룹</t>
  </si>
  <si>
    <t>3. 통합형피지배외국법인과세제도에 따른 대상조세로서 해당 하위그룹에 배분된 금액 합계</t>
  </si>
  <si>
    <t>1. 재계산과 조정 전 글로벌최저한세 기준상 이연법인세비용(「국제조세조정에 관한 법률 시행령」 제112조제1항제1호)</t>
  </si>
  <si>
    <t>a. 회계 계정상 기록된 이연법인세비용</t>
  </si>
  <si>
    <t>b. 글로벌최저한세 기준으로 계산된 장부가액이 회계상 장부금액과 다른 자산 또는 부채와 관련된 이연법인세비용</t>
  </si>
  <si>
    <t xml:space="preserve">c. 글로벌최저한세 기준으로 계산된 자산 또는 부채의 장부가액에 기초한 이연법인세비용 </t>
  </si>
  <si>
    <t>d. 재계산과 조정 전 글로벌최저한세 기준으로 계산된 이연법인세비용</t>
  </si>
  <si>
    <t>2. 총조정금액</t>
  </si>
  <si>
    <t>3. 이연법인세비용을 최저한세율로 재계산</t>
  </si>
  <si>
    <t>e. 재계산 전 글로벌최저한세 기준으로 계산된 이연법인세비용</t>
  </si>
  <si>
    <t>f. 최저한세율보다 낮은 세율로 계산된 이연법인세비용과 최저한세율로 재계산된 이연법인세비용 차이</t>
  </si>
  <si>
    <t>g. 최저한세율보다 높은 세율로 계산된 이연법인세비용과 최저한세율로 재계산된 이연법인세비용 차이</t>
  </si>
  <si>
    <t>4. 총이연법인세조정금액</t>
  </si>
  <si>
    <t xml:space="preserve"> (a) 글로벌최저한세소득ㆍ결손 계산에서 제외되는 손익 항목 관련 이연법인세비용(「국제조세조정에 관한 법률 시행령」 제112조제1항제1호의2가목)</t>
  </si>
  <si>
    <t xml:space="preserve"> (b) 불확실한 세무처리항목에 따른 이연법인세비용 등(「국제조세조정에 관한 법률 시행령」 제112조제1항제1호의2다목 및 같은 법 시행규칙 제71조제5항)</t>
  </si>
  <si>
    <t xml:space="preserve"> (c) 미반영 선택 사항 관련 이연법인세비용[「국제조세조정에 관한 법률 시행령」 제112조제1항제1호의2나목4)]</t>
  </si>
  <si>
    <t xml:space="preserve"> (d) 이연법인세자산에 대한 평가 조정 또는 인식 조정[「국제조세조정에 관한 법률 시행령」 제112조제1항제1호의2나목1)]</t>
  </si>
  <si>
    <t xml:space="preserve"> (e) 법인세 세율 변동에 따른 재계산 관련 이연법인세비용[「국제조세조정에 관한 법률 시행령」 제112조제1항제1호의2나목2)]</t>
  </si>
  <si>
    <t xml:space="preserve"> (f) 이월 세액공제의 발생 또는 사용 관련 이연법인세비용[「국제조세조정에 관한 법률 시행령」 제112조제1항제1호의2나목3)]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</si>
  <si>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</si>
  <si>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</si>
  <si>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</si>
  <si>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(j) 회계상 인식 기준 미충족으로 계상되지 않은 신고대상 사업연도의 결손금에 대한 이연법인세자산의 인식(「국제조세조정에 관한 법률 시행령」 제112조제1항제3호)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</si>
  <si>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</si>
  <si>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</si>
  <si>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(m) 조직재편시 다국적기업그룹의 구성기업으로 포함되거나 제외되는 경우(「국제조세조정에 관한 법률 시행규칙」 제80조)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</si>
  <si>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</si>
  <si>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</si>
  <si>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 xml:space="preserve"> (p) 구성기업 간 자산거래에 따른 이연법인세 조정(「국제조세조정에 관한 법률 시행규칙」 제89조제4항)</t>
  </si>
  <si>
    <t>1. 결손금 소급공제로 인한 간주 이연법인세자산 금액</t>
  </si>
  <si>
    <t>2. 결손금 소급공제와 관련된 대상조세 환급액</t>
  </si>
  <si>
    <t>1. 신고대상 사업연도 개시 전 다섯 번째 사업연도의 환입 적용대상 이연법인세부채 금액</t>
  </si>
  <si>
    <t>3. 신고대상 사업연도의 환입 적용대상 이연법인세부채 금액</t>
  </si>
  <si>
    <t>구 분</t>
  </si>
  <si>
    <t>신고대상 사업연도</t>
  </si>
  <si>
    <t>직전 사업연도</t>
  </si>
  <si>
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</si>
  <si>
    <t xml:space="preserve">b. 「국제조세조정에 관한 법률 시행령」 제113조의2제1항에 따른 해당 사업연도 종료일 현재
   이연법인세부채 금액 </t>
  </si>
  <si>
    <t>c. 「국제조세조정에 관한 법률 시행령」 제113조의2제1항에 따른 비적격잔액 금액</t>
  </si>
  <si>
    <t>1. 최초적용연도</t>
  </si>
  <si>
    <t>이 연 법 인 세 부 채</t>
  </si>
  <si>
    <t>1. 최초적용연도 개시일의 이연법인세부채</t>
  </si>
  <si>
    <t>2. 최저한세율로 재계산한 이연법인세부채(해당되는 경우)</t>
  </si>
  <si>
    <t>이 연 법 인 세 자 산</t>
  </si>
  <si>
    <t>4. 최저한세율로 재계산한 이연법인세자산
(해당되는 경우)</t>
  </si>
  <si>
    <t>6. 글로벌최저한세 목적상 산입되는 
이연법인세자산</t>
  </si>
  <si>
    <t>2. 해당 자산거래 관련
납부세액</t>
  </si>
  <si>
    <t>3. 해당 자산 처분구성기업의 회계상
반영된 순이연법인세자산(또는 부채)</t>
  </si>
  <si>
    <t>4. 글로벌최저한세 목적상 해당
이전된 자산의 장부가액</t>
  </si>
  <si>
    <t>5. 글로벌최저한세 목적상 취득구성기업의 해당 자산
관련 순이연법인세자산(또는 부채)</t>
  </si>
  <si>
    <t>1. 매년 선택</t>
  </si>
  <si>
    <t xml:space="preserve"> a. 총자산처분이익 조정 선택(「국제조세조정에 관한 법률 시행규칙」 별표 1 제10호)</t>
  </si>
  <si>
    <t xml:space="preserve"> b. 대상조세의 경미한 감액에 대한 경정사업연도 반영 선택(「국제조세조정에 관한 법률」 제68조제2항)</t>
  </si>
  <si>
    <t xml:space="preserve"> c. 실질기반제외소득 미적용 선택(「국제조세조정에 관한 법률 시행규칙」 제75조제14항)</t>
  </si>
  <si>
    <t xml:space="preserve"> d. 이월조정대상조세 처리 선택(「국제조세조정에 관한 법률 시행령」 제119조제3항)</t>
  </si>
  <si>
    <t>2. 5년 선택</t>
  </si>
  <si>
    <t>3. 선택 사업연도</t>
  </si>
  <si>
    <t>4. 취소 사업연도</t>
  </si>
  <si>
    <t xml:space="preserve"> e. 지분투자손익포함 선택(「국제조세조정에 관한 법률 시행규칙」 별표 1 제4호라목)</t>
  </si>
  <si>
    <t xml:space="preserve"> f. 주식기준보상비용 세무조정 선택(「국제조세조정에 관한 법률 시행규칙」 별표 1 제8호)</t>
  </si>
  <si>
    <t xml:space="preserve"> g. 실현주의 적용 선택(「국제조세조정에 관한 법률 시행규칙」 별표 1 제16호)</t>
  </si>
  <si>
    <t xml:space="preserve"> h. 구성기업 간 연결회계조정 결과의 반영에 따른 조정 선택(「국제조세조정에 관한 법률 시행규칙」 별표 1 제15호)</t>
  </si>
  <si>
    <t xml:space="preserve"> i. 국가간 이연법인세비용 미배분 적용 선택(「국제조세조정에 관한 법률 시행령」 제111조제3항 및 제4항)</t>
  </si>
  <si>
    <t>5. 그 밖의 선택</t>
  </si>
  <si>
    <t>6. 선택 사업연도</t>
  </si>
  <si>
    <t>7. 취소 사업연도</t>
  </si>
  <si>
    <t xml:space="preserve"> j. 결손취급특례 선택(「국제조세조정에 관한 법률」 제67조제4항 및 같은 법 시행령 제113조의3)</t>
  </si>
  <si>
    <t xml:space="preserve"> 1. 지분투자손익포함선택에 따른 지분손익 산입 </t>
  </si>
  <si>
    <t xml:space="preserve"> 2. 적격소유지분에 대한 투자가액의 이전 사업연도 잔액</t>
  </si>
  <si>
    <t xml:space="preserve"> 3. 적격소유지분에 대한 투자가액의 증액</t>
  </si>
  <si>
    <t xml:space="preserve"> 4. 적격소유지분에 대한 투자가액의 감액</t>
  </si>
  <si>
    <t xml:space="preserve"> 5. 적격소유지분에 대한 투자가액 잔액</t>
  </si>
  <si>
    <t xml:space="preserve"> 1. 간주분배세액 선택(「국제조세조정에 관한 법률」 제78조제1항)</t>
  </si>
  <si>
    <t>□</t>
  </si>
  <si>
    <t>1. 사업연도</t>
  </si>
  <si>
    <t>2. 간주분배세액결정 
(「국제조세조정에 관한 법률
시행령」 제134조제2항)</t>
  </si>
  <si>
    <t>3. 간주분배세액 환입계정</t>
  </si>
  <si>
    <t>4. 간주분배세액 환입계정 잔액</t>
  </si>
  <si>
    <t>직전 3년차 사업연도</t>
  </si>
  <si>
    <t>직전 전 사업연도</t>
  </si>
  <si>
    <t>직전 4년차</t>
  </si>
  <si>
    <t>직전 3년차</t>
  </si>
  <si>
    <t>해당없음</t>
  </si>
  <si>
    <t>직전 2년차</t>
  </si>
  <si>
    <t>직전연도</t>
  </si>
  <si>
    <t>1. 이전 사업연도 조정대상조세 감액</t>
  </si>
  <si>
    <t>2. 추가세액 재계산에 따른 추가세액 증가액</t>
  </si>
  <si>
    <t>3. 처분환입비율</t>
  </si>
  <si>
    <t xml:space="preserve"> 1. 모든 구성기업 또는 공동기업그룹 기업의 국제해운소득ㆍ결손 합계</t>
  </si>
  <si>
    <t xml:space="preserve"> 2. 50% 한도</t>
  </si>
  <si>
    <t xml:space="preserve"> 3. 모든 구성기업 또는 공동기업그룹 기업의 적격국제해운부수소득ㆍ결손 합계</t>
  </si>
  <si>
    <t xml:space="preserve"> 4. B가 A의 50%를 넘는 경우의 한도 초과액</t>
  </si>
  <si>
    <t>a. 추가세액비율</t>
  </si>
  <si>
    <t>b. 실질기반제외소득</t>
  </si>
  <si>
    <t>c. 초과이익</t>
  </si>
  <si>
    <t>d. 당기추가세액가산액</t>
  </si>
  <si>
    <t>e. 적격소재국추가세액</t>
  </si>
  <si>
    <t>f. 추가세액</t>
  </si>
  <si>
    <t>인건비 제외금액</t>
  </si>
  <si>
    <t>유형자산 제외금액</t>
  </si>
  <si>
    <t>1. 적격종업원에 관한 해당기업
소재지국의 적격인건비</t>
  </si>
  <si>
    <t>2. 신고대상 사업연도에
적용되는 반영 비율</t>
  </si>
  <si>
    <t>3. 적격유형자산에 관한 해당기업
소재지국의 장부가액</t>
  </si>
  <si>
    <t>4. 신고대상 사업연도에 적용되는
반영 비율</t>
  </si>
  <si>
    <t xml:space="preserve">5. 실질기반제외소득 </t>
  </si>
  <si>
    <t>3.3.2.2 실질기반제외소득 계산 목적상 적격인건비 및 적격유형자산 장부가액의 고정사업장 배분</t>
  </si>
  <si>
    <t>1. 적격인건비</t>
  </si>
  <si>
    <t>2. 적격유형자산 장부가액</t>
  </si>
  <si>
    <t>3. 고정사업장 소재지국</t>
  </si>
  <si>
    <t>4. 고정사업장에 배분된 적격인건비</t>
  </si>
  <si>
    <t>5. 고정사업장에 배분된 적격유형자산 장부가액</t>
  </si>
  <si>
    <t>3.3.2.3 실질기반제외소득 계산 목적상 투과기업의 적격인건비 및 적격유형자산 장부가액의 배분</t>
  </si>
  <si>
    <t>3. 주주구성기업 (또는 주주인 
공동기업그룹 기업) 소재지국</t>
  </si>
  <si>
    <t>4. 주주구성기업 (또는 주주인 공동
기업그룹 기업)에 배분된 적격
인건비 (또는 실질기반제외소득
 계산에서 제외되는 금액)</t>
  </si>
  <si>
    <t>5. 주주구성기업 (또는 주주인 공동기업그룹 기업)에
배분된 적격유형자산 장부가액 (또는 
실질기반제외소득 계산에서 제외되는 금액)</t>
  </si>
  <si>
    <t>1. 관련 근거</t>
  </si>
  <si>
    <t>2. 관련 사업연도</t>
  </si>
  <si>
    <t xml:space="preserve">3. 당초신고 또는
재계산 </t>
  </si>
  <si>
    <t>4. 순글로벌최저한세
소득ㆍ결손</t>
  </si>
  <si>
    <t>5. 조정대상조세</t>
  </si>
  <si>
    <t>6. 실효세율</t>
  </si>
  <si>
    <t>7. 초과 이익</t>
  </si>
  <si>
    <t>8. 추가세액
   비율(%)</t>
  </si>
  <si>
    <t>9. 추가세액</t>
  </si>
  <si>
    <t>10. 당기추가세액
가산액</t>
  </si>
  <si>
    <t>이전 사업연도</t>
  </si>
  <si>
    <t xml:space="preserve"> a. 당초신고</t>
  </si>
  <si>
    <t xml:space="preserve"> b. 재계산</t>
  </si>
  <si>
    <t xml:space="preserve"> 1. 소재지국 조정대상조세(음수)</t>
  </si>
  <si>
    <t xml:space="preserve"> 2. 소재지국 순글로벌최저한세결손</t>
  </si>
  <si>
    <t xml:space="preserve"> 3. 조정대상조세 예상액</t>
  </si>
  <si>
    <t xml:space="preserve"> 4. 당기추가세액가산액</t>
  </si>
  <si>
    <t xml:space="preserve"> 1. 회계기준</t>
  </si>
  <si>
    <t xml:space="preserve"> 2. 적격소재국추가세액</t>
  </si>
  <si>
    <t xml:space="preserve"> 3. 적격소재국추가세제도 최저한세율(15%보다 높은 경우) </t>
  </si>
  <si>
    <t xml:space="preserve"> 4. 실효세율 계산을 위한 소득 및 세금 합산 기준(글로벌최저한세 규칙과 다른 경우)</t>
  </si>
  <si>
    <t xml:space="preserve"> 5. 사용 통화(연결재무제표 작성 통화와 다른 경우)</t>
  </si>
  <si>
    <t xml:space="preserve"> 6. 연결재무제표 작성 통화 또는 현지통화 사용 여부 5년선택</t>
  </si>
  <si>
    <t>통화</t>
  </si>
  <si>
    <t>선택 사업연도</t>
  </si>
  <si>
    <t>취소 사업연도</t>
  </si>
  <si>
    <t xml:space="preserve"> 7. 실질기반제외소득 적용가능 여부 </t>
  </si>
  <si>
    <t xml:space="preserve"> 8. 최소적용제외 특례 적용가능 여부</t>
  </si>
  <si>
    <t>1. 귀 다국적기업그룹은 전환기 국가별 간소화 신고체계의 적용을 선택합니까?</t>
  </si>
  <si>
    <t>1. 연결납세그룹(납세자번호)</t>
  </si>
  <si>
    <t>2. 해당 연결납세그룹에 포함된 기업(납세자번호)</t>
  </si>
  <si>
    <t>가산액</t>
  </si>
  <si>
    <t>차감액</t>
  </si>
  <si>
    <t xml:space="preserve"> (e) 글로벌최저한세조직재편에 대한 특례(「국제조세조정에 관한 법률」 제76조제2항부터 제4항까지 및 같은 법 시행령 제129조)</t>
  </si>
  <si>
    <t xml:space="preserve"> (q) 그룹내부금융약정비용의 조정(「국제조세조정에 관한 법률 시행규칙」 별표 1 제9호) </t>
  </si>
  <si>
    <t xml:space="preserve"> (v) 투과기업인 최종모기업에 대한 특례(「국제조세조정에 관한 법률」 제77조의2제2항 및 같은 법 시행령 제133조)</t>
  </si>
  <si>
    <t xml:space="preserve"> (w) 배당공제제도를 적용받는 최종모기업에 대한 특례(「국제조세조정에 관한 법률」 제77조의2제1항 및 같은 법 시행령 제132조) </t>
  </si>
  <si>
    <t xml:space="preserve"> (x) 과세분배방법 적용 선택에 따른 조정(「국제조세조정에 관한 법률」 제79조제6항 및 같은 법 시행령 제137조)</t>
  </si>
  <si>
    <t xml:space="preserve"> (y) 국제해운소득ㆍ결손(「국제조세조정에 관한 법률」 제66조제3항 및 같은 법 시행령 제106조) </t>
  </si>
  <si>
    <t xml:space="preserve"> (z) 구성기업 간 자산거래(「국제조세조정에 관한 법률 시행규칙」 제89조제4항)</t>
  </si>
  <si>
    <t>1. 해당 국가에 
소재하는 구성기업
또는 공동기업그룹
기업 또는 무국적
구성기업
(납세자번호)</t>
  </si>
  <si>
    <t>2. 조정 전 
회계상 순손익</t>
  </si>
  <si>
    <t>3. 조정근거</t>
  </si>
  <si>
    <t>4. 상대 구성기업
또는 공동기업그룹 기업
(납세자번호)</t>
  </si>
  <si>
    <t>5. 상대 구성기업 
또는 공동기업그룹 기업의 
소재지국(ISO 코드)</t>
  </si>
  <si>
    <t>6. 해당 구성기업에
대한 손익배분
가산액</t>
  </si>
  <si>
    <t>7. 해당 구성기업에
대한 손익배분
차감액</t>
  </si>
  <si>
    <t>8. 조정 후 
회계상 순손익</t>
  </si>
  <si>
    <t>1. 해당 국가에
소재하는 구성기업
또는 공동기업
그룹 기업
(납세자번호)</t>
  </si>
  <si>
    <t>2. 조정근거</t>
  </si>
  <si>
    <t>3. 상대 구성기업 또는 공동기업그룹 기업(납세자번호)</t>
  </si>
  <si>
    <t>4. 상대 구성기업 또는 공동기업
그룹 기업 소재지국(ISO 코드)</t>
  </si>
  <si>
    <t>5. 해당 구성기업에 대한
손익배분 가산액</t>
  </si>
  <si>
    <t>6. 해당 구성기업에 대한
손익배분 차감액</t>
  </si>
  <si>
    <t>1. 해당 국가에 소재하는 구성기업 또는
공동기업그룹 기업(납세자번호)</t>
  </si>
  <si>
    <t>2. 감액근거</t>
  </si>
  <si>
    <t>3. 소유지분보유자 또는 배당수취자
정보</t>
  </si>
  <si>
    <t>4. 직접보유비율(%)</t>
  </si>
  <si>
    <t>5. 해당 구성기업의 소득차감액</t>
  </si>
  <si>
    <t xml:space="preserve"> (a) 회계상 세전이익 계산에서 비용으로 계상한 대상조세(「국제조세조정에 관한 법률 시행령」 제110조제1호가목)</t>
  </si>
  <si>
    <t xml:space="preserve"> (b) 이전 사업연도에 대상조세 차감으로 처리되었던 불확실한 세무처리 항목 관련 대상조세의 당기 납부(「국제조세조정에 관한 법률 시행령」 제110조제1호나목)</t>
  </si>
  <si>
    <t xml:space="preserve"> (c) 당기법인세비용에서 차감된 적격환급가능세액공제 또는 적격양도가능세액공제(「국제조세조정에 관한 법률 시행령」 제110조제1호다목)</t>
  </si>
  <si>
    <t xml:space="preserve"> (d) 적격 소유지분에 의한 적격투과조세혜택(「국제조세조정에 관한 법률 시행규칙」 별표 1 제4호사목부터 차목까지)</t>
  </si>
  <si>
    <t xml:space="preserve"> (e) 글로벌최저한세소득ㆍ결손 계산에서 제외되는 소득에 대한 당기법인세비용(「국제조세조정에 관한 법률 시행령」 제110조제2호가목)</t>
  </si>
  <si>
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</si>
  <si>
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</si>
  <si>
    <t xml:space="preserve"> (h) 불확실한 세무처리 항목 관련 당기법인세비용(「국제조세조정에 관한 법률 시행령」 제110조제2호마목)</t>
  </si>
  <si>
    <t xml:space="preserve"> (i) 사업연도 종료일부터 3년 이내에 납부되지 않을 것으로 예상되는 당기법인세비용(「국제조세조정에 관한 법률 시행령」 제110조제2호바목)</t>
  </si>
  <si>
    <t xml:space="preserve"> (j) 신고 후 조정(「국제조세조정에 관한 법률」 제68조제1항 및 제2항)</t>
  </si>
  <si>
    <t xml:space="preserve"> (k) 총자산처분이익 조정 선택을 한 경우에 대한 자산처분순손익 관련 대상조세(「국제조세조정에 관한 법률 시행규칙」 별표 1 제10호가목)</t>
  </si>
  <si>
    <t xml:space="preserve"> (l) 투과기업인 최종모기업의 대상조세 감액(「국제조세조정에 관한 법률 시행령」 제133조제2항)</t>
  </si>
  <si>
    <t xml:space="preserve"> (m) 배당공제제도 적용 최종모기업의 차감된 글로벌최저한세소득금액 관련 대상조세(「국제조세조정에 관한 법률 시행령」 제132조)</t>
  </si>
  <si>
    <t xml:space="preserve"> (n) 간주분배세액(「국제조세조정에 관한 법률 시행령」 제134조제7항)</t>
  </si>
  <si>
    <t xml:space="preserve"> (o) 과세분배방법 적용 선택(「국제조세조정에 관한 법률 시행령」 제137조)</t>
  </si>
  <si>
    <t xml:space="preserve"> (p) 총이연법인세조정금액(「국제조세조정에 관한 법률」 제67조제2항부터 제4항까지)</t>
  </si>
  <si>
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</si>
  <si>
    <t>1. 구성기업, 공동
기업그룹 기업
(또는 무국적구성
기업) 납세자번호</t>
  </si>
  <si>
    <t>2. 구성기업(또는 공동
기업그룹 기업)의 
배분 전 대상조세</t>
  </si>
  <si>
    <t>3. 조정 근거</t>
  </si>
  <si>
    <t>4. 상대 구성기업(또는
공동기업그룹 
기업) 납세자번호</t>
    <phoneticPr fontId="2" type="noConversion"/>
  </si>
  <si>
    <t>5. 상대 구성기업(또는
공동기업그룹 기업)
소재지국(ISO 코드)</t>
  </si>
  <si>
    <t>8. 조정 후 구성기업
(또는 공동기업그룹의
기업)의 대상조세</t>
  </si>
  <si>
    <t xml:space="preserve"> (b) 불확실한 세무처리 항목 등 관련 이연법인세비용(「국제조세조정에 관한 법률 시행령」 제112조제1항1호의2다목)</t>
  </si>
  <si>
    <t xml:space="preserve"> (c) 이연법인세부채 미반영 선택 사항 관련 이연법인세비용(「(국제조세조정에 관한 법률 시행령」 제112조제1항1호의2나목4))</t>
  </si>
  <si>
    <t xml:space="preserve"> (d) 이연법인세자산에 대한 평가 조정 또는 인식 조정 관련(「국제조세조정에 관한 법률 시행령」 제112조제1항1호의2나목1))</t>
  </si>
  <si>
    <t xml:space="preserve"> (e) 법인세 세율 변동에 따른 재계산 관련 이연법인세비용(「국제조세조정에 관한 법률 시행령」 제112조제1항1호의2나목2))</t>
  </si>
  <si>
    <t xml:space="preserve"> (f) 이월세액공제의 발생 또는 사용 관련 이연법인세비용(「국제조세조정에 관한 법률 시행령」 제112조제1항1호의2나목3))</t>
  </si>
  <si>
    <t xml:space="preserve"> (j) 회계상 인식 기준 미충족으로 계상되지 않은 신고대상 사업연도의 결손금 이연법인세자산의 인식(「국제조세조정에 관한 법률 시행령」 제112조제1항제3호)</t>
  </si>
  <si>
    <t xml:space="preserve"> (m) 조직재편 시 다국적기업그룹의 구성기업으로 포함되거나 제외되는 경우(「국제조세조정에 관한 법률 시행규칙」 제80조제4호 및 제5호) </t>
  </si>
  <si>
    <t xml:space="preserve"> 1. 선택적용 대상 구성기업(또는 공동기업그룹 기업) 납세자번호</t>
  </si>
  <si>
    <t xml:space="preserve"> 2. 매년 선택</t>
  </si>
  <si>
    <t>a. 중요성이 낮은 구성기업에 대한 간소화 계산 선택(간소화 계산 적용)</t>
  </si>
  <si>
    <t>b. 채무면제이익의 제외 선택(「국제조세조정에 관한 법률 시행규칙」 별표 1 제11호)</t>
  </si>
  <si>
    <t>c. 이연법인세비용 미반영 선택(「국제조세조정에 관한 법률 시행령」 제112조제1항제1호의2나목4))</t>
  </si>
  <si>
    <t xml:space="preserve"> 3. 5년 선택</t>
  </si>
  <si>
    <t>4. 선택 사업연도</t>
  </si>
  <si>
    <t>5. 취소 사업연도</t>
  </si>
  <si>
    <t>d. 제외기업의 구성기업 간주 선택(「국제조세조정에 관한 법률」 제62조제4항)</t>
  </si>
  <si>
    <t>e. 분산투자지분에 대한 배당의 글로벌최저한세소득 포함 선택(「국제조세조정에 관한 법률 시행규칙」 별표 1 제2호다목)</t>
  </si>
  <si>
    <t>f. 분산투자지분 외의 소유지분 관련 환위험 회피수단 발생 외환손익의 제외 지분손익 포함 선택(「국제조세조정에 관한 법률 시행규칙」 별표 1 제4호나목)</t>
  </si>
  <si>
    <t>g. 투자기업의 투시과세기업 취급 선택(「국제조세조정에 관한 법률」 제79조제5항 및 같은 법 시행령 제136조)</t>
  </si>
  <si>
    <t>h. 투자기업에 대한 과세분배방법 적용 선택(「국제조세조정에 관한 법률」 제79조제6항 및 같은 법 시행령 제137조)</t>
  </si>
  <si>
    <t>i. 이연법인세비용 미반영 선택(「국제조세조정에 관한 법률 시행령」 제112조제1항제1호의2나목4))</t>
  </si>
  <si>
    <t xml:space="preserve"> 6. 기타선택</t>
  </si>
  <si>
    <t>j. 결손취급특례 적용 선택(「국제조세조정에 관한 법률」 제67조제4항 및 같은 법 시행령 제113조의3)</t>
  </si>
  <si>
    <t>k. 공정가액조정 선택(「국제조세조정에 관한 법률」 제76조제4항 및 같은 법 시행령 제129조제4항)</t>
  </si>
  <si>
    <t>1. 선택적용 대상 구성기업 (또는 
   공동기업그룹 기업) 납세자번호</t>
  </si>
  <si>
    <t>2. 공정가액조정 적용 사업연도</t>
  </si>
  <si>
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<phoneticPr fontId="2" type="noConversion"/>
  </si>
  <si>
    <t xml:space="preserve">   </t>
    <phoneticPr fontId="2" type="noConversion"/>
  </si>
  <si>
    <t xml:space="preserve"> </t>
    <phoneticPr fontId="2" type="noConversion"/>
  </si>
  <si>
    <t>1. 본 소재지국 구성기업(또는 공동기업그룹 기업) 납세자번호</t>
  </si>
  <si>
    <t>국제해운소득ㆍ결손</t>
  </si>
  <si>
    <t>2. 유형(「국제조세조정에 관한 법률 시행령」 제106조제1항제1호부터 제6호까지의 규정 중 선택)</t>
  </si>
  <si>
    <t>3. 수익</t>
  </si>
  <si>
    <t>4. 비용</t>
  </si>
  <si>
    <t>5. 국제해운소득ㆍ결손</t>
  </si>
  <si>
    <t>적격국제해운부수소득ㆍ결손</t>
  </si>
  <si>
    <t>6. 유형(「국제조세조정에 관한 법률 시행령」 제106조제2항제1호부터 제5호까지의 규정 중 선택)</t>
  </si>
  <si>
    <t>7. 수익</t>
  </si>
  <si>
    <t>8. 비용</t>
  </si>
  <si>
    <t>9. 적격국제해운부수소득ㆍ결손</t>
  </si>
  <si>
    <t>실질기반제외소득에 대한 효과</t>
  </si>
  <si>
    <t>10. 국제해운소득ㆍ결손 및 적격국제해운부수소득ㆍ결손에 귀속되는 인건비</t>
  </si>
  <si>
    <t>11. 국제해운소득ㆍ결손 및 적격국제해운부수소득ㆍ결손 창출에 사용된 유형자산 장부가액</t>
  </si>
  <si>
    <t>대상조세</t>
  </si>
  <si>
    <t>12. 국제해운소득ㆍ결손 및 적격국제해운부수소득ㆍ결손에 귀속되는 대상조세</t>
  </si>
  <si>
    <t>과세분배방법 적용 선택</t>
  </si>
  <si>
    <t>1. 선택대상인 주주구성기업 (또는
주주인 공동기업그룹 기업)
(납세자번호)</t>
  </si>
  <si>
    <t>2. 선택대상 투자기업
(납세자번호)</t>
  </si>
  <si>
    <t>3. 투자기업의 글로벌최저한세소득으로서
주주구성기업(또는 주주인 공동기업그룹
기업)이 수취하거나 수취한 것으로 
간주되는 분배금</t>
  </si>
  <si>
    <t>4. 투자기업이 납부하는 대상조세로서
주주구성기업(또는 주주인 
공동기업그룹 기업)의  분배금 등에
대한 산출세액에서 공제되는 금액</t>
  </si>
  <si>
    <t>5. 투자기업의 미분배 순글로벌최저한세
소득금액 잔액 중 해당 주주구성기업
(또는 주주인 공동기업그룹 기업)에
귀속되는 지분율</t>
  </si>
  <si>
    <t>1. 최종모기업의 연결재무제표 작성 회계기준 외의 회계기준에 따라 계산된 회계상 순손익을
사용하는 구성기업(또는 공동기업그룹 기업)의 납세자번호</t>
  </si>
  <si>
    <t>2. 적용하는 인정회계기준 또는 공인회계기준</t>
  </si>
  <si>
    <t>1. 추가세액 배분
   그룹기업</t>
  </si>
  <si>
    <t>a. 저율과세구성기업 또는 저율과세 공동기업그룹 기업의 납세자번호</t>
  </si>
  <si>
    <t>b. 저율과세구성기업 또는 저율과세 공동기업그룹 기업의 글로벌최저한세소득</t>
  </si>
  <si>
    <t>c. 저율과세구성기업 또는 저율과세 공동기업그룹 기업의 추가세액</t>
  </si>
  <si>
    <t>2. 적격소득산입규칙을
   적용해야 하는 모기업</t>
  </si>
  <si>
    <t>a. 모기업(납세자번호)</t>
  </si>
  <si>
    <t>b. 모기업 소재지국</t>
  </si>
  <si>
    <t>c. 모기업 외의 다른 소유지분 보유자에게 귀속되는 글로벌최저한세소득</t>
  </si>
  <si>
    <t>d. 모기업의 소득산입비율</t>
  </si>
  <si>
    <t>3. 소득산입규칙
   추가세액</t>
    <phoneticPr fontId="2" type="noConversion"/>
  </si>
  <si>
    <t>a. 모기업의 추가세액배분액</t>
    <phoneticPr fontId="2" type="noConversion"/>
  </si>
  <si>
    <t>b. 소득산입규칙 추가세액배분액의 차감액</t>
  </si>
  <si>
    <t>c. 모기업이 납부할 추가세액 합계</t>
    <phoneticPr fontId="2" type="noConversion"/>
  </si>
  <si>
    <t>1.「국제조세조정에 관한 법률」 제73조제3항제1호에 해당하지 않는 저율과세구성기업 또는 저율과세 공동기업그룹 기업의 납세자번호</t>
  </si>
  <si>
    <t>2.「국제조세조정에 관한 법률」 제73조제3항제2호에 따라 같은 조 제2항의 저율과세구성기업(또는 저율과세 공동기업 또는 공동기업 자회사) 추가세액에서
  소득산입규칙 추가세액 납부액을 차감</t>
  </si>
  <si>
    <t>3. 해당 소재지국에 대한 소득산입보완규칙 추가세액 합계</t>
  </si>
  <si>
    <t>key</t>
  </si>
  <si>
    <t>value</t>
  </si>
  <si>
    <t>sheet:1.1~1.2</t>
  </si>
  <si>
    <t>1.1~1.2</t>
  </si>
  <si>
    <t>sheet:1.3.1</t>
  </si>
  <si>
    <t>1.3.1</t>
  </si>
  <si>
    <t>sheet:1.3.2.1</t>
  </si>
  <si>
    <t>1.3.2.1</t>
  </si>
  <si>
    <t>sheet:1.3.2.2</t>
  </si>
  <si>
    <t>1.3.2.2</t>
  </si>
  <si>
    <t>sheet:1.3.3</t>
  </si>
  <si>
    <t>1.3.3</t>
  </si>
  <si>
    <t>sheet:1.4</t>
  </si>
  <si>
    <t>1.4</t>
  </si>
  <si>
    <t>blockCount:1.3.1</t>
  </si>
  <si>
    <t>blockCount:1.3.2.1</t>
  </si>
  <si>
    <t>blockCount:1.3.2.2</t>
  </si>
  <si>
    <t>blockCount:1.3.3</t>
  </si>
  <si>
    <t>blockCount:1.4</t>
  </si>
  <si>
    <t>sheet:2</t>
  </si>
  <si>
    <t>2</t>
  </si>
  <si>
    <t>fileType</t>
  </si>
  <si>
    <t>main</t>
  </si>
  <si>
    <t>구성기업 정보</t>
    <phoneticPr fontId="2" type="noConversion"/>
  </si>
  <si>
    <t>(b) 조정내역</t>
    <phoneticPr fontId="2" type="noConversion"/>
  </si>
  <si>
    <t>(b) 국가별 선택과 관련된 필요정보</t>
    <phoneticPr fontId="2" type="noConversion"/>
  </si>
  <si>
    <t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t>
    <phoneticPr fontId="0" type="noConversion"/>
  </si>
  <si>
    <t>KR</t>
    <phoneticPr fontId="0" type="noConversion"/>
  </si>
  <si>
    <t>GIR201</t>
    <phoneticPr fontId="0" type="noConversion"/>
  </si>
  <si>
    <t>GIR301</t>
    <phoneticPr fontId="0" type="noConversion"/>
  </si>
  <si>
    <t>신고대상 사업연도 중 발생한 기업구조의 변동이 실효세율 계산이나 추가세액 계산 또는 배분에 영향을 미치지 않아 별도로 작성할 필요가 없는 경우인지 여부</t>
    <phoneticPr fontId="0" type="noConversion"/>
  </si>
  <si>
    <t>1. 구성기업 (또는 다국적 
    기업그룹의 다른 기업) 
    또는 공동기업그룹 
    기업의 상호</t>
    <phoneticPr fontId="0" type="noConversion"/>
  </si>
  <si>
    <t>9. 주주기업 유형</t>
    <phoneticPr fontId="0" type="noConversion"/>
  </si>
  <si>
    <t>8. 추가세액 (적격
소재국추가세)
범위</t>
    <phoneticPr fontId="0" type="noConversion"/>
  </si>
  <si>
    <t>2.소득산입보완규칙
추가세액배분액
전기이월액</t>
    <phoneticPr fontId="0" type="noConversion"/>
  </si>
  <si>
    <t>사업연도(일자)</t>
    <phoneticPr fontId="0" type="noConversion"/>
  </si>
  <si>
    <t>합계</t>
    <phoneticPr fontId="0" type="noConversion"/>
  </si>
  <si>
    <t xml:space="preserve">2. 신고대상 사업연도 개시 전 다섯 번째 사업연도의 이연법인세부채 금액으로서 신고대상 사업연도에 환입되는 금액 </t>
    <phoneticPr fontId="0" type="noConversion"/>
  </si>
  <si>
    <t>3. 최초적용연도 개시일의
이연법인세자산</t>
    <phoneticPr fontId="0" type="noConversion"/>
  </si>
  <si>
    <t>5.「국제조세조정에 관한 법률 시행규칙」 제89조에
따라 제외되는 이연법인세자산</t>
    <phoneticPr fontId="0" type="noConversion"/>
  </si>
  <si>
    <t>1. 처분기업 소재지국</t>
    <phoneticPr fontId="0" type="noConversion"/>
  </si>
  <si>
    <t>영문 기업명</t>
    <phoneticPr fontId="2" type="noConversion"/>
  </si>
  <si>
    <t>국문 기업명(참고용)</t>
    <phoneticPr fontId="2" type="noConversion"/>
  </si>
  <si>
    <t>하위그룹 최상위기업명(영문)</t>
    <phoneticPr fontId="2" type="noConversion"/>
  </si>
  <si>
    <t>GIR401</t>
    <phoneticPr fontId="7" type="noConversion"/>
  </si>
  <si>
    <t>KR</t>
    <phoneticPr fontId="7" type="noConversion"/>
  </si>
  <si>
    <t>GIR501</t>
    <phoneticPr fontId="7" type="noConversion"/>
  </si>
  <si>
    <t>K-IFRS</t>
    <phoneticPr fontId="7" type="noConversion"/>
  </si>
  <si>
    <t>KRW</t>
    <phoneticPr fontId="7" type="noConversion"/>
  </si>
  <si>
    <t>구분 Key</t>
    <phoneticPr fontId="2" type="noConversion"/>
  </si>
  <si>
    <r>
      <t xml:space="preserve">기업 납세자번호
</t>
    </r>
    <r>
      <rPr>
        <sz val="11"/>
        <color theme="1"/>
        <rFont val="맑은 고딕"/>
        <family val="3"/>
        <charset val="129"/>
        <scheme val="minor"/>
      </rPr>
      <t>(없는 경우 Null1, Null2)</t>
    </r>
    <phoneticPr fontId="2" type="noConversion"/>
  </si>
  <si>
    <t>연번</t>
    <phoneticPr fontId="2" type="noConversion"/>
  </si>
  <si>
    <t>국가</t>
    <phoneticPr fontId="2" type="noConversion"/>
  </si>
  <si>
    <t>회계처리</t>
    <phoneticPr fontId="2" type="noConversion"/>
  </si>
  <si>
    <t>1.3.2.1.4</t>
    <phoneticPr fontId="2" type="noConversion"/>
  </si>
  <si>
    <t>사업자등록번호 또는현지기업고유번호(국세청 발급)</t>
  </si>
  <si>
    <t>납세자번호</t>
  </si>
  <si>
    <t>소재지(한글)</t>
  </si>
  <si>
    <t>소재지(영문)</t>
  </si>
  <si>
    <t>국가별 적용면제 및 제외 - 국가별 기재
신고구성기업은 글로벌최저한세 계산의 적용면제 및 제외가 적용되는 각 국가별로 제4쪽 및 제5쪽을 작성합니다.</t>
    <phoneticPr fontId="2" type="noConversion"/>
  </si>
  <si>
    <t>1-1</t>
    <phoneticPr fontId="2" type="noConversion"/>
  </si>
  <si>
    <t>1-2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</si>
</sst>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&quot;△&quot;#,##0_)"/>
    <numFmt numFmtId="177" formatCode="###\-##\-#####"/>
    <numFmt numFmtId="178" formatCode="mm&quot;월&quot;\ dd&quot;일&quot;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000000"/>
      <name val="Tahoma"/>
      <family val="2"/>
    </font>
    <font>
      <sz val="9"/>
      <color rgb="FF000000"/>
      <name val="돋움"/>
      <family val="3"/>
    </font>
    <font>
      <sz val="11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 tint="4.9989318521683403E-2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3" tint="9.9978637043366805E-2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0" tint="-0.249977111117893"/>
      </bottom>
      <diagonal/>
    </border>
    <border>
      <left style="hair">
        <color indexed="64"/>
      </left>
      <right/>
      <top style="hair">
        <color indexed="64"/>
      </top>
      <bottom style="medium">
        <color theme="0" tint="-0.249977111117893"/>
      </bottom>
      <diagonal/>
    </border>
    <border>
      <left/>
      <right style="hair">
        <color indexed="64"/>
      </right>
      <top style="hair">
        <color indexed="64"/>
      </top>
      <bottom style="medium">
        <color theme="0" tint="-0.249977111117893"/>
      </bottom>
      <diagonal/>
    </border>
  </borders>
  <cellStyleXfs count="4">
    <xf numFmtId="0" fontId="0" fillId="0" borderId="0">
      <alignment vertical="center"/>
    </xf>
    <xf numFmtId="0" fontId="1" fillId="0" borderId="0"/>
    <xf numFmtId="9" fontId="7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6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5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1" fillId="0" borderId="0" xfId="0" applyFont="1">
      <alignment vertical="center"/>
    </xf>
    <xf numFmtId="0" fontId="0" fillId="0" borderId="28" xfId="0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14" fillId="4" borderId="0" xfId="0" applyFont="1" applyFill="1">
      <alignment vertical="center"/>
    </xf>
    <xf numFmtId="0" fontId="16" fillId="4" borderId="0" xfId="0" applyFont="1" applyFill="1" applyAlignment="1">
      <alignment vertical="center" wrapText="1"/>
    </xf>
    <xf numFmtId="0" fontId="15" fillId="0" borderId="3" xfId="3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8" fillId="5" borderId="3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8" fillId="0" borderId="3" xfId="0" applyFont="1" applyBorder="1" applyAlignment="1">
      <alignment horizontal="left" vertical="center" wrapText="1" indent="1"/>
    </xf>
    <xf numFmtId="0" fontId="20" fillId="0" borderId="3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2"/>
    </xf>
    <xf numFmtId="0" fontId="21" fillId="0" borderId="3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3"/>
    </xf>
    <xf numFmtId="0" fontId="21" fillId="0" borderId="3" xfId="0" applyFont="1" applyBorder="1" applyAlignment="1">
      <alignment horizontal="left" vertical="center" wrapText="1" indent="3"/>
    </xf>
    <xf numFmtId="0" fontId="22" fillId="6" borderId="0" xfId="0" applyFont="1" applyFill="1" applyAlignment="1">
      <alignment horizontal="center" vertical="center"/>
    </xf>
    <xf numFmtId="0" fontId="0" fillId="0" borderId="38" xfId="0" applyBorder="1" applyAlignment="1">
      <alignment vertical="center" shrinkToFit="1"/>
    </xf>
    <xf numFmtId="0" fontId="0" fillId="0" borderId="38" xfId="0" applyBorder="1" applyAlignment="1">
      <alignment horizontal="center" vertical="center" shrinkToFit="1"/>
    </xf>
    <xf numFmtId="0" fontId="0" fillId="0" borderId="39" xfId="0" applyBorder="1" applyAlignment="1">
      <alignment vertical="center" shrinkToFit="1"/>
    </xf>
    <xf numFmtId="0" fontId="0" fillId="0" borderId="39" xfId="0" applyBorder="1" applyAlignment="1">
      <alignment horizontal="center" vertical="center" shrinkToFit="1"/>
    </xf>
    <xf numFmtId="0" fontId="18" fillId="0" borderId="0" xfId="0" applyFont="1">
      <alignment vertical="center"/>
    </xf>
    <xf numFmtId="0" fontId="23" fillId="0" borderId="0" xfId="0" applyFont="1" applyAlignment="1">
      <alignment horizontal="center" vertical="center" wrapText="1"/>
    </xf>
    <xf numFmtId="0" fontId="18" fillId="0" borderId="0" xfId="0" applyFont="1" applyAlignment="1"/>
    <xf numFmtId="0" fontId="18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3" fillId="0" borderId="28" xfId="0" applyFont="1" applyBorder="1">
      <alignment vertical="center"/>
    </xf>
    <xf numFmtId="0" fontId="23" fillId="0" borderId="22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justify" vertical="center" wrapText="1"/>
    </xf>
    <xf numFmtId="0" fontId="18" fillId="0" borderId="25" xfId="0" applyFont="1" applyBorder="1" applyAlignment="1">
      <alignment horizontal="center" vertical="center"/>
    </xf>
    <xf numFmtId="10" fontId="23" fillId="0" borderId="28" xfId="2" applyNumberFormat="1" applyFont="1" applyBorder="1" applyAlignment="1">
      <alignment horizontal="center" vertical="center"/>
    </xf>
    <xf numFmtId="176" fontId="18" fillId="0" borderId="3" xfId="0" applyNumberFormat="1" applyFont="1" applyBorder="1" applyAlignment="1">
      <alignment horizontal="right" vertical="center" shrinkToFit="1"/>
    </xf>
    <xf numFmtId="10" fontId="18" fillId="0" borderId="3" xfId="2" applyNumberFormat="1" applyFont="1" applyBorder="1" applyAlignment="1">
      <alignment horizontal="center" vertical="center"/>
    </xf>
    <xf numFmtId="0" fontId="19" fillId="0" borderId="28" xfId="0" applyFont="1" applyBorder="1">
      <alignment vertical="center"/>
    </xf>
    <xf numFmtId="0" fontId="0" fillId="2" borderId="39" xfId="0" applyFill="1" applyBorder="1" applyAlignment="1">
      <alignment horizontal="center" vertical="center" shrinkToFit="1"/>
    </xf>
    <xf numFmtId="0" fontId="0" fillId="2" borderId="38" xfId="0" applyFill="1" applyBorder="1" applyAlignment="1">
      <alignment horizontal="center" vertical="center" shrinkToFit="1"/>
    </xf>
    <xf numFmtId="0" fontId="8" fillId="2" borderId="40" xfId="0" applyFont="1" applyFill="1" applyBorder="1" applyAlignment="1">
      <alignment horizontal="center" vertical="center" wrapText="1"/>
    </xf>
    <xf numFmtId="0" fontId="8" fillId="7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4" fillId="0" borderId="0" xfId="0" quotePrefix="1" applyFont="1">
      <alignment vertical="center"/>
    </xf>
    <xf numFmtId="178" fontId="14" fillId="0" borderId="0" xfId="0" quotePrefix="1" applyNumberFormat="1" applyFont="1">
      <alignment vertical="center"/>
    </xf>
    <xf numFmtId="0" fontId="27" fillId="0" borderId="0" xfId="0" applyFont="1">
      <alignment vertical="center"/>
    </xf>
    <xf numFmtId="0" fontId="15" fillId="0" borderId="3" xfId="3" applyBorder="1" applyAlignment="1">
      <alignment horizontal="center" vertical="center"/>
    </xf>
    <xf numFmtId="0" fontId="15" fillId="0" borderId="3" xfId="3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5" fillId="0" borderId="27" xfId="0" applyFont="1" applyBorder="1" applyAlignment="1"/>
    <xf numFmtId="14" fontId="23" fillId="0" borderId="15" xfId="0" applyNumberFormat="1" applyFont="1" applyBorder="1" applyAlignment="1">
      <alignment horizontal="center" vertical="center" wrapText="1"/>
    </xf>
    <xf numFmtId="0" fontId="18" fillId="0" borderId="9" xfId="0" applyFont="1" applyBorder="1" applyAlignment="1"/>
    <xf numFmtId="0" fontId="3" fillId="0" borderId="14" xfId="0" applyFont="1" applyBorder="1" applyAlignment="1">
      <alignment horizontal="center" vertical="center" wrapText="1"/>
    </xf>
    <xf numFmtId="0" fontId="25" fillId="0" borderId="8" xfId="0" applyFont="1" applyBorder="1" applyAlignment="1"/>
    <xf numFmtId="0" fontId="25" fillId="0" borderId="11" xfId="0" applyFont="1" applyBorder="1" applyAlignment="1"/>
    <xf numFmtId="0" fontId="25" fillId="0" borderId="0" xfId="0" applyFont="1">
      <alignment vertical="center"/>
    </xf>
    <xf numFmtId="0" fontId="25" fillId="0" borderId="0" xfId="0" applyFont="1" applyAlignment="1"/>
    <xf numFmtId="0" fontId="24" fillId="0" borderId="13" xfId="0" applyFont="1" applyBorder="1" applyAlignment="1">
      <alignment horizontal="distributed" vertical="center" wrapText="1" indent="1"/>
    </xf>
    <xf numFmtId="0" fontId="5" fillId="0" borderId="9" xfId="0" applyFont="1" applyBorder="1" applyAlignment="1"/>
    <xf numFmtId="0" fontId="5" fillId="0" borderId="12" xfId="0" applyFont="1" applyBorder="1" applyAlignment="1"/>
    <xf numFmtId="0" fontId="5" fillId="0" borderId="10" xfId="0" applyFont="1" applyBorder="1" applyAlignment="1"/>
    <xf numFmtId="0" fontId="24" fillId="0" borderId="14" xfId="0" applyFont="1" applyBorder="1" applyAlignment="1">
      <alignment horizontal="center" vertical="center" wrapText="1"/>
    </xf>
    <xf numFmtId="0" fontId="5" fillId="0" borderId="8" xfId="0" applyFont="1" applyBorder="1" applyAlignment="1"/>
    <xf numFmtId="0" fontId="5" fillId="0" borderId="6" xfId="0" applyFont="1" applyBorder="1" applyAlignment="1"/>
    <xf numFmtId="0" fontId="17" fillId="0" borderId="5" xfId="0" applyFont="1" applyBorder="1" applyAlignment="1">
      <alignment horizontal="center" vertical="center" wrapText="1"/>
    </xf>
    <xf numFmtId="0" fontId="18" fillId="0" borderId="27" xfId="0" applyFont="1" applyBorder="1" applyAlignment="1"/>
    <xf numFmtId="0" fontId="18" fillId="0" borderId="11" xfId="0" applyFont="1" applyBorder="1" applyAlignment="1"/>
    <xf numFmtId="0" fontId="5" fillId="0" borderId="11" xfId="0" applyFont="1" applyBorder="1" applyAlignment="1"/>
    <xf numFmtId="177" fontId="24" fillId="0" borderId="14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14" fontId="2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justify" vertical="center" wrapText="1"/>
    </xf>
    <xf numFmtId="0" fontId="18" fillId="0" borderId="1" xfId="0" applyFont="1" applyBorder="1" applyAlignment="1"/>
    <xf numFmtId="0" fontId="18" fillId="0" borderId="26" xfId="0" applyFont="1" applyBorder="1" applyAlignment="1"/>
    <xf numFmtId="0" fontId="23" fillId="0" borderId="28" xfId="0" applyFont="1" applyBorder="1" applyAlignment="1">
      <alignment horizontal="center" vertical="center" wrapText="1"/>
    </xf>
    <xf numFmtId="0" fontId="18" fillId="0" borderId="28" xfId="0" applyFont="1" applyBorder="1" applyAlignment="1"/>
    <xf numFmtId="0" fontId="23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justify" vertical="center" wrapText="1"/>
    </xf>
    <xf numFmtId="0" fontId="18" fillId="0" borderId="0" xfId="0" applyFont="1" applyAlignment="1"/>
    <xf numFmtId="0" fontId="23" fillId="0" borderId="10" xfId="0" applyFont="1" applyBorder="1" applyAlignment="1">
      <alignment horizontal="center" vertical="center" wrapText="1"/>
    </xf>
    <xf numFmtId="0" fontId="18" fillId="0" borderId="6" xfId="0" applyFont="1" applyBorder="1" applyAlignment="1"/>
    <xf numFmtId="0" fontId="18" fillId="0" borderId="10" xfId="0" applyFont="1" applyBorder="1" applyAlignment="1"/>
    <xf numFmtId="0" fontId="23" fillId="0" borderId="1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/>
    <xf numFmtId="49" fontId="18" fillId="0" borderId="28" xfId="0" applyNumberFormat="1" applyFont="1" applyBorder="1" applyAlignment="1"/>
    <xf numFmtId="0" fontId="23" fillId="0" borderId="9" xfId="0" applyFont="1" applyBorder="1" applyAlignment="1">
      <alignment horizontal="center" vertical="center" wrapText="1"/>
    </xf>
    <xf numFmtId="0" fontId="18" fillId="0" borderId="8" xfId="0" applyFont="1" applyBorder="1" applyAlignment="1"/>
    <xf numFmtId="0" fontId="23" fillId="0" borderId="30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18" fillId="0" borderId="21" xfId="0" applyFont="1" applyBorder="1" applyAlignment="1"/>
    <xf numFmtId="0" fontId="23" fillId="0" borderId="4" xfId="0" applyFont="1" applyBorder="1" applyAlignment="1">
      <alignment horizontal="center" vertical="center" wrapText="1"/>
    </xf>
    <xf numFmtId="0" fontId="18" fillId="0" borderId="7" xfId="0" applyFont="1" applyBorder="1" applyAlignment="1"/>
    <xf numFmtId="0" fontId="18" fillId="0" borderId="4" xfId="0" applyFont="1" applyBorder="1" applyAlignment="1"/>
    <xf numFmtId="0" fontId="23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18" fillId="0" borderId="18" xfId="0" applyFont="1" applyBorder="1" applyAlignment="1"/>
    <xf numFmtId="0" fontId="23" fillId="0" borderId="20" xfId="0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49" fontId="18" fillId="0" borderId="8" xfId="0" applyNumberFormat="1" applyFont="1" applyBorder="1" applyAlignment="1"/>
    <xf numFmtId="0" fontId="23" fillId="0" borderId="32" xfId="0" applyFont="1" applyBorder="1" applyAlignment="1">
      <alignment horizontal="left" vertical="center" wrapText="1"/>
    </xf>
    <xf numFmtId="0" fontId="18" fillId="0" borderId="23" xfId="0" applyFont="1" applyBorder="1" applyAlignment="1"/>
    <xf numFmtId="0" fontId="18" fillId="0" borderId="32" xfId="0" applyFont="1" applyBorder="1" applyAlignment="1"/>
    <xf numFmtId="0" fontId="23" fillId="0" borderId="1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26" xfId="0" applyFont="1" applyBorder="1" applyAlignment="1">
      <alignment horizontal="center" vertical="center" wrapText="1"/>
    </xf>
    <xf numFmtId="0" fontId="18" fillId="0" borderId="29" xfId="0" applyFont="1" applyBorder="1" applyAlignment="1"/>
    <xf numFmtId="0" fontId="18" fillId="0" borderId="22" xfId="0" applyFont="1" applyBorder="1" applyAlignment="1"/>
    <xf numFmtId="0" fontId="23" fillId="0" borderId="1" xfId="0" applyFont="1" applyBorder="1" applyAlignment="1">
      <alignment horizontal="left" vertical="center"/>
    </xf>
    <xf numFmtId="0" fontId="18" fillId="0" borderId="0" xfId="0" applyFont="1">
      <alignment vertical="center"/>
    </xf>
    <xf numFmtId="0" fontId="18" fillId="0" borderId="19" xfId="0" applyFont="1" applyBorder="1" applyAlignment="1"/>
    <xf numFmtId="49" fontId="23" fillId="0" borderId="26" xfId="0" applyNumberFormat="1" applyFont="1" applyBorder="1" applyAlignment="1">
      <alignment horizontal="center" vertical="center" wrapText="1"/>
    </xf>
    <xf numFmtId="49" fontId="18" fillId="0" borderId="26" xfId="0" applyNumberFormat="1" applyFont="1" applyBorder="1" applyAlignment="1"/>
    <xf numFmtId="0" fontId="23" fillId="0" borderId="3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49" fontId="23" fillId="0" borderId="30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9" fontId="18" fillId="0" borderId="30" xfId="0" applyNumberFormat="1" applyFont="1" applyBorder="1" applyAlignment="1">
      <alignment horizontal="center" vertical="center"/>
    </xf>
    <xf numFmtId="9" fontId="18" fillId="0" borderId="26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0" fontId="18" fillId="0" borderId="3" xfId="2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3" fillId="3" borderId="28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/>
    <xf numFmtId="49" fontId="18" fillId="0" borderId="3" xfId="0" applyNumberFormat="1" applyFont="1" applyBorder="1" applyAlignment="1">
      <alignment horizontal="center" vertical="center" wrapText="1"/>
    </xf>
    <xf numFmtId="49" fontId="18" fillId="0" borderId="3" xfId="0" applyNumberFormat="1" applyFont="1" applyBorder="1" applyAlignment="1"/>
    <xf numFmtId="14" fontId="18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/>
    <xf numFmtId="14" fontId="18" fillId="0" borderId="25" xfId="0" applyNumberFormat="1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/>
    <xf numFmtId="0" fontId="23" fillId="0" borderId="22" xfId="0" applyFont="1" applyBorder="1">
      <alignment vertical="center"/>
    </xf>
    <xf numFmtId="0" fontId="23" fillId="0" borderId="25" xfId="0" applyFont="1" applyBorder="1" applyAlignment="1">
      <alignment horizontal="center" vertical="center"/>
    </xf>
    <xf numFmtId="0" fontId="23" fillId="0" borderId="28" xfId="0" applyFont="1" applyBorder="1">
      <alignment vertical="center"/>
    </xf>
    <xf numFmtId="176" fontId="23" fillId="0" borderId="3" xfId="0" applyNumberFormat="1" applyFont="1" applyBorder="1" applyAlignment="1">
      <alignment horizontal="right" vertical="center" shrinkToFit="1"/>
    </xf>
    <xf numFmtId="176" fontId="23" fillId="0" borderId="2" xfId="0" applyNumberFormat="1" applyFont="1" applyBorder="1" applyAlignment="1">
      <alignment horizontal="right" vertical="center" shrinkToFit="1"/>
    </xf>
    <xf numFmtId="0" fontId="23" fillId="0" borderId="28" xfId="0" applyFont="1" applyBorder="1" applyAlignment="1">
      <alignment horizontal="left" vertical="center" indent="1"/>
    </xf>
    <xf numFmtId="10" fontId="23" fillId="0" borderId="2" xfId="2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1"/>
    </xf>
    <xf numFmtId="14" fontId="23" fillId="0" borderId="2" xfId="0" applyNumberFormat="1" applyFont="1" applyBorder="1" applyAlignment="1">
      <alignment horizontal="center" vertical="center" wrapText="1"/>
    </xf>
    <xf numFmtId="10" fontId="23" fillId="0" borderId="3" xfId="2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0" fontId="23" fillId="0" borderId="1" xfId="2" applyNumberFormat="1" applyFont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right" vertical="center" shrinkToFit="1"/>
    </xf>
    <xf numFmtId="0" fontId="2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176" fontId="18" fillId="0" borderId="24" xfId="0" applyNumberFormat="1" applyFont="1" applyBorder="1" applyAlignment="1">
      <alignment horizontal="right" vertical="center" shrinkToFit="1"/>
    </xf>
    <xf numFmtId="0" fontId="18" fillId="0" borderId="24" xfId="0" applyFont="1" applyBorder="1" applyAlignment="1"/>
    <xf numFmtId="176" fontId="18" fillId="0" borderId="3" xfId="0" applyNumberFormat="1" applyFont="1" applyBorder="1" applyAlignment="1">
      <alignment horizontal="right" vertical="center" shrinkToFit="1"/>
    </xf>
    <xf numFmtId="176" fontId="23" fillId="0" borderId="28" xfId="0" applyNumberFormat="1" applyFont="1" applyBorder="1" applyAlignment="1">
      <alignment horizontal="right" vertical="center" shrinkToFit="1"/>
    </xf>
    <xf numFmtId="3" fontId="18" fillId="0" borderId="2" xfId="2" applyNumberFormat="1" applyFont="1" applyBorder="1" applyAlignment="1">
      <alignment horizontal="right" vertical="center"/>
    </xf>
    <xf numFmtId="3" fontId="18" fillId="0" borderId="1" xfId="2" applyNumberFormat="1" applyFont="1" applyBorder="1" applyAlignment="1">
      <alignment horizontal="right" vertical="center"/>
    </xf>
    <xf numFmtId="3" fontId="18" fillId="0" borderId="28" xfId="2" applyNumberFormat="1" applyFont="1" applyBorder="1" applyAlignment="1">
      <alignment horizontal="right" vertical="center"/>
    </xf>
    <xf numFmtId="0" fontId="23" fillId="0" borderId="3" xfId="0" applyFont="1" applyBorder="1">
      <alignment vertical="center"/>
    </xf>
    <xf numFmtId="0" fontId="17" fillId="0" borderId="26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center" vertical="center" wrapText="1"/>
    </xf>
    <xf numFmtId="10" fontId="18" fillId="0" borderId="1" xfId="0" applyNumberFormat="1" applyFont="1" applyBorder="1" applyAlignment="1"/>
    <xf numFmtId="10" fontId="18" fillId="0" borderId="28" xfId="0" applyNumberFormat="1" applyFont="1" applyBorder="1" applyAlignment="1"/>
    <xf numFmtId="0" fontId="19" fillId="0" borderId="2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3" fillId="0" borderId="26" xfId="0" applyFont="1" applyBorder="1" applyAlignment="1">
      <alignment horizontal="left" vertical="center"/>
    </xf>
    <xf numFmtId="176" fontId="23" fillId="0" borderId="26" xfId="0" applyNumberFormat="1" applyFont="1" applyBorder="1" applyAlignment="1">
      <alignment horizontal="right" vertical="center" shrinkToFit="1"/>
    </xf>
    <xf numFmtId="0" fontId="17" fillId="0" borderId="21" xfId="0" applyFont="1" applyBorder="1" applyAlignment="1">
      <alignment horizontal="left" vertical="center" wrapText="1"/>
    </xf>
    <xf numFmtId="176" fontId="23" fillId="0" borderId="2" xfId="0" applyNumberFormat="1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left" vertical="center"/>
    </xf>
    <xf numFmtId="0" fontId="23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/>
    <xf numFmtId="0" fontId="18" fillId="0" borderId="35" xfId="0" applyFont="1" applyBorder="1" applyAlignment="1"/>
    <xf numFmtId="176" fontId="23" fillId="0" borderId="4" xfId="0" applyNumberFormat="1" applyFont="1" applyBorder="1" applyAlignment="1">
      <alignment horizontal="right" vertical="center" shrinkToFit="1"/>
    </xf>
    <xf numFmtId="176" fontId="17" fillId="0" borderId="13" xfId="0" applyNumberFormat="1" applyFont="1" applyBorder="1" applyAlignment="1">
      <alignment horizontal="right" vertical="center" shrinkToFit="1"/>
    </xf>
    <xf numFmtId="0" fontId="18" fillId="0" borderId="36" xfId="0" applyFont="1" applyBorder="1" applyAlignment="1"/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vertical="center" wrapText="1"/>
    </xf>
    <xf numFmtId="0" fontId="23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23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23" fillId="0" borderId="2" xfId="0" applyFont="1" applyBorder="1" applyAlignment="1">
      <alignment horizontal="center" vertical="center"/>
    </xf>
    <xf numFmtId="176" fontId="23" fillId="0" borderId="0" xfId="0" applyNumberFormat="1" applyFont="1" applyAlignment="1">
      <alignment horizontal="right" vertical="center" shrinkToFit="1"/>
    </xf>
    <xf numFmtId="0" fontId="17" fillId="0" borderId="26" xfId="0" applyFont="1" applyBorder="1" applyAlignment="1">
      <alignment vertical="center" wrapText="1"/>
    </xf>
    <xf numFmtId="0" fontId="18" fillId="0" borderId="26" xfId="0" applyFont="1" applyBorder="1" applyAlignment="1">
      <alignment horizontal="left" vertical="center" wrapText="1"/>
    </xf>
    <xf numFmtId="0" fontId="18" fillId="0" borderId="30" xfId="0" applyFont="1" applyBorder="1">
      <alignment vertical="center"/>
    </xf>
    <xf numFmtId="0" fontId="18" fillId="0" borderId="2" xfId="0" applyFont="1" applyBorder="1">
      <alignment vertical="center"/>
    </xf>
    <xf numFmtId="0" fontId="18" fillId="0" borderId="2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left" vertical="center"/>
    </xf>
    <xf numFmtId="176" fontId="23" fillId="0" borderId="21" xfId="0" applyNumberFormat="1" applyFont="1" applyBorder="1" applyAlignment="1">
      <alignment horizontal="right" vertical="center" shrinkToFit="1"/>
    </xf>
    <xf numFmtId="10" fontId="23" fillId="2" borderId="30" xfId="2" applyNumberFormat="1" applyFont="1" applyFill="1" applyBorder="1" applyAlignment="1">
      <alignment horizontal="center" vertical="center" wrapText="1"/>
    </xf>
    <xf numFmtId="10" fontId="23" fillId="2" borderId="26" xfId="2" applyNumberFormat="1" applyFont="1" applyFill="1" applyBorder="1" applyAlignment="1">
      <alignment horizontal="center" vertical="center" wrapText="1"/>
    </xf>
    <xf numFmtId="10" fontId="23" fillId="2" borderId="31" xfId="2" applyNumberFormat="1" applyFont="1" applyFill="1" applyBorder="1" applyAlignment="1">
      <alignment horizontal="center" vertical="center" wrapText="1"/>
    </xf>
    <xf numFmtId="10" fontId="23" fillId="2" borderId="0" xfId="2" applyNumberFormat="1" applyFont="1" applyFill="1" applyAlignment="1">
      <alignment horizontal="center" vertical="center" wrapText="1"/>
    </xf>
    <xf numFmtId="10" fontId="23" fillId="2" borderId="24" xfId="2" applyNumberFormat="1" applyFont="1" applyFill="1" applyBorder="1" applyAlignment="1">
      <alignment horizontal="center" vertical="center" wrapText="1"/>
    </xf>
    <xf numFmtId="10" fontId="23" fillId="2" borderId="21" xfId="2" applyNumberFormat="1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10" fontId="23" fillId="0" borderId="2" xfId="2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 wrapText="1" indent="2"/>
    </xf>
    <xf numFmtId="0" fontId="23" fillId="0" borderId="3" xfId="0" applyFont="1" applyBorder="1" applyAlignment="1">
      <alignment horizontal="left" vertical="center" indent="2"/>
    </xf>
    <xf numFmtId="0" fontId="23" fillId="0" borderId="2" xfId="0" applyFont="1" applyBorder="1" applyAlignment="1">
      <alignment horizontal="left" vertical="center" wrapText="1" indent="2"/>
    </xf>
    <xf numFmtId="0" fontId="19" fillId="0" borderId="2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23" fillId="0" borderId="25" xfId="0" applyFont="1" applyBorder="1">
      <alignment vertical="center"/>
    </xf>
    <xf numFmtId="0" fontId="17" fillId="0" borderId="3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 wrapText="1"/>
    </xf>
    <xf numFmtId="176" fontId="23" fillId="0" borderId="1" xfId="0" applyNumberFormat="1" applyFont="1" applyBorder="1" applyAlignment="1">
      <alignment horizontal="right" vertical="center"/>
    </xf>
    <xf numFmtId="176" fontId="23" fillId="0" borderId="3" xfId="0" applyNumberFormat="1" applyFont="1" applyBorder="1" applyAlignment="1">
      <alignment horizontal="right" vertical="center"/>
    </xf>
    <xf numFmtId="176" fontId="23" fillId="0" borderId="37" xfId="0" applyNumberFormat="1" applyFont="1" applyBorder="1" applyAlignment="1">
      <alignment horizontal="right" vertical="center" shrinkToFit="1"/>
    </xf>
    <xf numFmtId="176" fontId="23" fillId="0" borderId="30" xfId="0" applyNumberFormat="1" applyFont="1" applyBorder="1" applyAlignment="1">
      <alignment horizontal="right" vertical="center" shrinkToFit="1"/>
    </xf>
    <xf numFmtId="0" fontId="17" fillId="0" borderId="25" xfId="0" applyFont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/>
    <xf numFmtId="0" fontId="23" fillId="0" borderId="26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/>
  </cellXfs>
  <cellStyles count="4">
    <cellStyle name="백분율" xfId="2" builtinId="5"/>
    <cellStyle name="표준" xfId="0" builtinId="0"/>
    <cellStyle name="표준 2" xfId="1" xr:uid="{00000000-0005-0000-0000-000001000000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9140-2E6D-46C2-9CD7-AEAE74B8FD55}">
  <sheetPr codeName="Sheet1">
    <tabColor theme="9" tint="0.79998168889431442"/>
  </sheetPr>
  <dimension ref="B2:F82"/>
  <sheetViews>
    <sheetView showGridLines="0" topLeftCell="A22" zoomScale="85" zoomScaleNormal="85" workbookViewId="0">
      <selection activeCell="E6" sqref="E6"/>
    </sheetView>
  </sheetViews>
  <sheetFormatPr defaultRowHeight="16.5" x14ac:dyDescent="0.3"/>
  <cols>
    <col min="1" max="1" width="2.875" customWidth="1"/>
    <col min="2" max="2" width="19.125" style="5" bestFit="1" customWidth="1"/>
    <col min="3" max="3" width="13.125" style="5" customWidth="1"/>
    <col min="4" max="4" width="64.75" style="8" customWidth="1"/>
    <col min="5" max="5" width="67.75" style="9" customWidth="1"/>
    <col min="6" max="6" width="22.25" style="5" bestFit="1" customWidth="1"/>
  </cols>
  <sheetData>
    <row r="2" spans="2:6" x14ac:dyDescent="0.3"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</row>
    <row r="3" spans="2:6" ht="148.5" x14ac:dyDescent="0.3">
      <c r="B3" s="6" t="s">
        <v>5</v>
      </c>
      <c r="C3" s="16"/>
      <c r="D3" s="12" t="s">
        <v>6</v>
      </c>
      <c r="E3" s="13" t="s">
        <v>792</v>
      </c>
      <c r="F3" s="17"/>
    </row>
    <row r="4" spans="2:6" ht="99" x14ac:dyDescent="0.3">
      <c r="B4" s="6" t="s">
        <v>5</v>
      </c>
      <c r="C4" s="16"/>
      <c r="D4" s="12" t="s">
        <v>8</v>
      </c>
      <c r="E4" s="13" t="s">
        <v>9</v>
      </c>
      <c r="F4" s="17"/>
    </row>
    <row r="5" spans="2:6" ht="148.5" x14ac:dyDescent="0.3">
      <c r="B5" s="6" t="s">
        <v>5</v>
      </c>
      <c r="C5" s="16"/>
      <c r="D5" s="12" t="s">
        <v>10</v>
      </c>
      <c r="E5" s="13" t="s">
        <v>7</v>
      </c>
      <c r="F5" s="17"/>
    </row>
    <row r="6" spans="2:6" ht="52.7" customHeight="1" x14ac:dyDescent="0.3">
      <c r="B6" s="6" t="s">
        <v>11</v>
      </c>
      <c r="C6" s="6" t="s">
        <v>12</v>
      </c>
      <c r="D6" s="12" t="s">
        <v>13</v>
      </c>
      <c r="E6" s="13" t="s">
        <v>14</v>
      </c>
      <c r="F6" s="6"/>
    </row>
    <row r="7" spans="2:6" ht="158.1" customHeight="1" x14ac:dyDescent="0.3">
      <c r="B7" s="6" t="s">
        <v>11</v>
      </c>
      <c r="C7" s="6" t="s">
        <v>15</v>
      </c>
      <c r="D7" s="12" t="s">
        <v>16</v>
      </c>
      <c r="E7" s="13" t="s">
        <v>7</v>
      </c>
      <c r="F7" s="6"/>
    </row>
    <row r="8" spans="2:6" ht="87.95" customHeight="1" x14ac:dyDescent="0.3">
      <c r="B8" s="6" t="s">
        <v>11</v>
      </c>
      <c r="C8" s="6" t="s">
        <v>17</v>
      </c>
      <c r="D8" s="12" t="s">
        <v>18</v>
      </c>
      <c r="E8" s="13" t="s">
        <v>19</v>
      </c>
      <c r="F8" s="6"/>
    </row>
    <row r="9" spans="2:6" x14ac:dyDescent="0.3">
      <c r="B9" s="6" t="s">
        <v>11</v>
      </c>
      <c r="C9" s="6" t="s">
        <v>20</v>
      </c>
      <c r="D9" s="12" t="s">
        <v>21</v>
      </c>
      <c r="E9" s="13" t="s">
        <v>22</v>
      </c>
      <c r="F9" s="6"/>
    </row>
    <row r="10" spans="2:6" x14ac:dyDescent="0.3">
      <c r="B10" s="6" t="s">
        <v>11</v>
      </c>
      <c r="C10" s="6" t="s">
        <v>23</v>
      </c>
      <c r="D10" s="12" t="s">
        <v>24</v>
      </c>
      <c r="E10" s="13" t="s">
        <v>22</v>
      </c>
      <c r="F10" s="6"/>
    </row>
    <row r="11" spans="2:6" ht="87.95" customHeight="1" x14ac:dyDescent="0.3">
      <c r="B11" s="6" t="s">
        <v>11</v>
      </c>
      <c r="C11" s="6" t="s">
        <v>25</v>
      </c>
      <c r="D11" s="12" t="s">
        <v>26</v>
      </c>
      <c r="E11" s="13" t="s">
        <v>27</v>
      </c>
      <c r="F11" s="6"/>
    </row>
    <row r="12" spans="2:6" x14ac:dyDescent="0.3">
      <c r="B12" s="6" t="s">
        <v>11</v>
      </c>
      <c r="C12" s="6" t="s">
        <v>28</v>
      </c>
      <c r="D12" s="12" t="s">
        <v>29</v>
      </c>
      <c r="E12" s="13" t="s">
        <v>30</v>
      </c>
      <c r="F12" s="6"/>
    </row>
    <row r="13" spans="2:6" ht="87.95" customHeight="1" x14ac:dyDescent="0.3">
      <c r="B13" s="6" t="s">
        <v>31</v>
      </c>
      <c r="C13" s="6" t="s">
        <v>32</v>
      </c>
      <c r="D13" s="12" t="s">
        <v>33</v>
      </c>
      <c r="E13" s="13" t="s">
        <v>34</v>
      </c>
      <c r="F13" s="6" t="s">
        <v>35</v>
      </c>
    </row>
    <row r="14" spans="2:6" ht="158.1" customHeight="1" x14ac:dyDescent="0.3">
      <c r="B14" s="6" t="s">
        <v>31</v>
      </c>
      <c r="C14" s="6" t="s">
        <v>36</v>
      </c>
      <c r="D14" s="12" t="s">
        <v>37</v>
      </c>
      <c r="E14" s="13" t="s">
        <v>7</v>
      </c>
      <c r="F14" s="6"/>
    </row>
    <row r="15" spans="2:6" ht="369" customHeight="1" x14ac:dyDescent="0.3">
      <c r="B15" s="6" t="s">
        <v>31</v>
      </c>
      <c r="C15" s="6" t="s">
        <v>38</v>
      </c>
      <c r="D15" s="12" t="s">
        <v>39</v>
      </c>
      <c r="E15" s="13" t="s">
        <v>40</v>
      </c>
      <c r="F15" s="6" t="s">
        <v>35</v>
      </c>
    </row>
    <row r="16" spans="2:6" ht="105.4" customHeight="1" x14ac:dyDescent="0.3">
      <c r="B16" s="6" t="s">
        <v>31</v>
      </c>
      <c r="C16" s="6" t="s">
        <v>41</v>
      </c>
      <c r="D16" s="12" t="s">
        <v>42</v>
      </c>
      <c r="E16" s="13" t="s">
        <v>43</v>
      </c>
      <c r="F16" s="6"/>
    </row>
    <row r="17" spans="2:6" x14ac:dyDescent="0.3">
      <c r="B17" s="6" t="s">
        <v>31</v>
      </c>
      <c r="C17" s="6" t="s">
        <v>44</v>
      </c>
      <c r="D17" s="5" t="s">
        <v>45</v>
      </c>
      <c r="E17" s="13" t="s">
        <v>22</v>
      </c>
      <c r="F17" s="6" t="s">
        <v>35</v>
      </c>
    </row>
    <row r="18" spans="2:6" x14ac:dyDescent="0.3">
      <c r="B18" s="6" t="s">
        <v>46</v>
      </c>
      <c r="C18" s="6" t="s">
        <v>47</v>
      </c>
      <c r="D18" s="12" t="s">
        <v>48</v>
      </c>
      <c r="E18" s="13" t="s">
        <v>22</v>
      </c>
      <c r="F18" s="6" t="s">
        <v>35</v>
      </c>
    </row>
    <row r="19" spans="2:6" ht="87.95" customHeight="1" x14ac:dyDescent="0.3">
      <c r="B19" s="6" t="s">
        <v>46</v>
      </c>
      <c r="C19" s="6" t="s">
        <v>49</v>
      </c>
      <c r="D19" s="12" t="s">
        <v>33</v>
      </c>
      <c r="E19" s="13" t="s">
        <v>34</v>
      </c>
      <c r="F19" s="6" t="s">
        <v>35</v>
      </c>
    </row>
    <row r="20" spans="2:6" ht="52.7" customHeight="1" x14ac:dyDescent="0.3">
      <c r="B20" s="6" t="s">
        <v>46</v>
      </c>
      <c r="C20" s="6" t="s">
        <v>50</v>
      </c>
      <c r="D20" s="5" t="s">
        <v>51</v>
      </c>
      <c r="E20" s="13" t="s">
        <v>52</v>
      </c>
      <c r="F20" s="6"/>
    </row>
    <row r="21" spans="2:6" ht="158.1" customHeight="1" x14ac:dyDescent="0.3">
      <c r="B21" s="6" t="s">
        <v>46</v>
      </c>
      <c r="C21" s="6" t="s">
        <v>53</v>
      </c>
      <c r="D21" s="12" t="s">
        <v>16</v>
      </c>
      <c r="E21" s="13" t="s">
        <v>7</v>
      </c>
      <c r="F21" s="6"/>
    </row>
    <row r="22" spans="2:6" ht="316.35000000000002" customHeight="1" x14ac:dyDescent="0.3">
      <c r="B22" s="6" t="s">
        <v>46</v>
      </c>
      <c r="C22" s="6" t="s">
        <v>54</v>
      </c>
      <c r="D22" s="12" t="s">
        <v>39</v>
      </c>
      <c r="E22" s="13" t="s">
        <v>55</v>
      </c>
      <c r="F22" s="6" t="s">
        <v>35</v>
      </c>
    </row>
    <row r="23" spans="2:6" ht="313.5" x14ac:dyDescent="0.3">
      <c r="B23" s="6" t="s">
        <v>46</v>
      </c>
      <c r="C23" s="6" t="s">
        <v>56</v>
      </c>
      <c r="D23" s="12" t="s">
        <v>57</v>
      </c>
      <c r="E23" s="13" t="s">
        <v>58</v>
      </c>
      <c r="F23" s="6" t="s">
        <v>59</v>
      </c>
    </row>
    <row r="24" spans="2:6" ht="52.7" customHeight="1" x14ac:dyDescent="0.3">
      <c r="B24" s="6" t="s">
        <v>46</v>
      </c>
      <c r="C24" s="6" t="s">
        <v>60</v>
      </c>
      <c r="D24" s="12" t="s">
        <v>61</v>
      </c>
      <c r="E24" s="13" t="s">
        <v>62</v>
      </c>
      <c r="F24" s="6"/>
    </row>
    <row r="25" spans="2:6" ht="158.1" customHeight="1" x14ac:dyDescent="0.3">
      <c r="B25" s="6" t="s">
        <v>46</v>
      </c>
      <c r="C25" s="6" t="s">
        <v>63</v>
      </c>
      <c r="D25" s="12" t="s">
        <v>64</v>
      </c>
      <c r="E25" s="13" t="s">
        <v>7</v>
      </c>
      <c r="F25" s="6"/>
    </row>
    <row r="26" spans="2:6" ht="158.1" customHeight="1" x14ac:dyDescent="0.3">
      <c r="B26" s="6" t="s">
        <v>46</v>
      </c>
      <c r="C26" s="6" t="s">
        <v>65</v>
      </c>
      <c r="D26" s="12" t="s">
        <v>66</v>
      </c>
      <c r="E26" s="13" t="s">
        <v>7</v>
      </c>
      <c r="F26" s="6"/>
    </row>
    <row r="27" spans="2:6" ht="52.7" customHeight="1" x14ac:dyDescent="0.3">
      <c r="B27" s="6" t="s">
        <v>67</v>
      </c>
      <c r="C27" s="6" t="s">
        <v>68</v>
      </c>
      <c r="D27" s="12" t="s">
        <v>69</v>
      </c>
      <c r="E27" s="13" t="s">
        <v>14</v>
      </c>
      <c r="F27" s="6"/>
    </row>
    <row r="28" spans="2:6" ht="140.65" customHeight="1" x14ac:dyDescent="0.3">
      <c r="B28" s="6" t="s">
        <v>67</v>
      </c>
      <c r="C28" s="6" t="s">
        <v>70</v>
      </c>
      <c r="D28" s="12" t="s">
        <v>42</v>
      </c>
      <c r="E28" s="13" t="s">
        <v>71</v>
      </c>
      <c r="F28" s="6"/>
    </row>
    <row r="29" spans="2:6" ht="35.1" customHeight="1" x14ac:dyDescent="0.3">
      <c r="B29" s="6" t="s">
        <v>72</v>
      </c>
      <c r="C29" s="6" t="s">
        <v>73</v>
      </c>
      <c r="D29" s="12" t="s">
        <v>74</v>
      </c>
      <c r="E29" s="13" t="s">
        <v>75</v>
      </c>
      <c r="F29" s="6"/>
    </row>
    <row r="30" spans="2:6" ht="158.1" customHeight="1" x14ac:dyDescent="0.3">
      <c r="B30" s="6" t="s">
        <v>72</v>
      </c>
      <c r="C30" s="6" t="s">
        <v>76</v>
      </c>
      <c r="D30" s="12" t="s">
        <v>16</v>
      </c>
      <c r="E30" s="13" t="s">
        <v>7</v>
      </c>
      <c r="F30" s="6"/>
    </row>
    <row r="31" spans="2:6" ht="369" customHeight="1" x14ac:dyDescent="0.3">
      <c r="B31" s="6" t="s">
        <v>72</v>
      </c>
      <c r="C31" s="6" t="s">
        <v>77</v>
      </c>
      <c r="D31" s="12" t="s">
        <v>78</v>
      </c>
      <c r="E31" s="13" t="s">
        <v>40</v>
      </c>
      <c r="F31" s="6" t="s">
        <v>35</v>
      </c>
    </row>
    <row r="32" spans="2:6" ht="140.65" customHeight="1" x14ac:dyDescent="0.3">
      <c r="B32" s="6" t="s">
        <v>72</v>
      </c>
      <c r="C32" s="6" t="s">
        <v>79</v>
      </c>
      <c r="D32" s="12" t="s">
        <v>80</v>
      </c>
      <c r="E32" s="13" t="s">
        <v>81</v>
      </c>
      <c r="F32" s="6"/>
    </row>
    <row r="33" spans="2:6" x14ac:dyDescent="0.3">
      <c r="B33" s="6" t="s">
        <v>82</v>
      </c>
      <c r="C33" s="6" t="s">
        <v>83</v>
      </c>
      <c r="D33" s="12" t="s">
        <v>48</v>
      </c>
      <c r="E33" s="13" t="s">
        <v>22</v>
      </c>
      <c r="F33" s="6"/>
    </row>
    <row r="34" spans="2:6" ht="105.4" customHeight="1" x14ac:dyDescent="0.3">
      <c r="B34" s="6" t="s">
        <v>82</v>
      </c>
      <c r="C34" s="6" t="s">
        <v>84</v>
      </c>
      <c r="D34" s="12" t="s">
        <v>85</v>
      </c>
      <c r="E34" s="13" t="s">
        <v>9</v>
      </c>
      <c r="F34" s="6"/>
    </row>
    <row r="35" spans="2:6" ht="158.1" customHeight="1" x14ac:dyDescent="0.3">
      <c r="B35" s="6" t="s">
        <v>82</v>
      </c>
      <c r="C35" s="6" t="s">
        <v>86</v>
      </c>
      <c r="D35" s="12" t="s">
        <v>87</v>
      </c>
      <c r="E35" s="13" t="s">
        <v>7</v>
      </c>
      <c r="F35" s="6"/>
    </row>
    <row r="36" spans="2:6" x14ac:dyDescent="0.3">
      <c r="B36" s="6" t="s">
        <v>82</v>
      </c>
      <c r="C36" s="6" t="s">
        <v>88</v>
      </c>
      <c r="D36" s="12" t="s">
        <v>89</v>
      </c>
      <c r="E36" s="13" t="s">
        <v>90</v>
      </c>
      <c r="F36" s="6" t="s">
        <v>35</v>
      </c>
    </row>
    <row r="37" spans="2:6" ht="158.1" customHeight="1" x14ac:dyDescent="0.3">
      <c r="B37" s="6" t="s">
        <v>82</v>
      </c>
      <c r="C37" s="6" t="s">
        <v>91</v>
      </c>
      <c r="D37" s="5" t="s">
        <v>92</v>
      </c>
      <c r="E37" s="13" t="s">
        <v>93</v>
      </c>
      <c r="F37" s="6" t="s">
        <v>35</v>
      </c>
    </row>
    <row r="38" spans="2:6" ht="246" customHeight="1" x14ac:dyDescent="0.3">
      <c r="B38" s="6" t="s">
        <v>82</v>
      </c>
      <c r="C38" s="6" t="s">
        <v>94</v>
      </c>
      <c r="D38" s="12" t="s">
        <v>95</v>
      </c>
      <c r="E38" s="13" t="s">
        <v>96</v>
      </c>
      <c r="F38" s="6"/>
    </row>
    <row r="39" spans="2:6" ht="158.1" customHeight="1" x14ac:dyDescent="0.3">
      <c r="B39" s="6" t="s">
        <v>82</v>
      </c>
      <c r="C39" s="6" t="s">
        <v>97</v>
      </c>
      <c r="D39" s="5" t="s">
        <v>98</v>
      </c>
      <c r="E39" s="13" t="s">
        <v>99</v>
      </c>
      <c r="F39" s="6"/>
    </row>
    <row r="40" spans="2:6" ht="158.1" customHeight="1" x14ac:dyDescent="0.3">
      <c r="B40" s="6" t="s">
        <v>82</v>
      </c>
      <c r="C40" s="6" t="s">
        <v>100</v>
      </c>
      <c r="D40" s="12" t="s">
        <v>101</v>
      </c>
      <c r="E40" s="13" t="s">
        <v>102</v>
      </c>
      <c r="F40" s="6"/>
    </row>
    <row r="41" spans="2:6" x14ac:dyDescent="0.3">
      <c r="B41" s="6" t="s">
        <v>103</v>
      </c>
      <c r="C41" s="6" t="s">
        <v>104</v>
      </c>
      <c r="D41" s="12" t="s">
        <v>105</v>
      </c>
      <c r="E41" s="13" t="s">
        <v>90</v>
      </c>
      <c r="F41" s="6"/>
    </row>
    <row r="42" spans="2:6" ht="105.4" customHeight="1" x14ac:dyDescent="0.3">
      <c r="B42" s="6" t="s">
        <v>103</v>
      </c>
      <c r="C42" s="6" t="s">
        <v>106</v>
      </c>
      <c r="D42" s="12" t="s">
        <v>85</v>
      </c>
      <c r="E42" s="13" t="s">
        <v>9</v>
      </c>
      <c r="F42" s="6"/>
    </row>
    <row r="43" spans="2:6" ht="158.1" customHeight="1" x14ac:dyDescent="0.3">
      <c r="B43" s="6" t="s">
        <v>103</v>
      </c>
      <c r="C43" s="6" t="s">
        <v>107</v>
      </c>
      <c r="D43" s="12" t="s">
        <v>87</v>
      </c>
      <c r="E43" s="13" t="s">
        <v>7</v>
      </c>
      <c r="F43" s="6"/>
    </row>
    <row r="44" spans="2:6" ht="333.95" customHeight="1" x14ac:dyDescent="0.3">
      <c r="B44" s="6" t="s">
        <v>103</v>
      </c>
      <c r="C44" s="6" t="s">
        <v>108</v>
      </c>
      <c r="D44" s="12" t="s">
        <v>109</v>
      </c>
      <c r="E44" s="13" t="s">
        <v>110</v>
      </c>
      <c r="F44" s="6" t="s">
        <v>111</v>
      </c>
    </row>
    <row r="45" spans="2:6" x14ac:dyDescent="0.3">
      <c r="B45" s="6" t="s">
        <v>103</v>
      </c>
      <c r="C45" s="6" t="s">
        <v>112</v>
      </c>
      <c r="D45" s="12" t="s">
        <v>113</v>
      </c>
      <c r="E45" s="13" t="s">
        <v>90</v>
      </c>
      <c r="F45" s="6"/>
    </row>
    <row r="46" spans="2:6" ht="33" x14ac:dyDescent="0.3">
      <c r="B46" s="6" t="s">
        <v>103</v>
      </c>
      <c r="C46" s="6" t="s">
        <v>114</v>
      </c>
      <c r="D46" s="12" t="s">
        <v>115</v>
      </c>
      <c r="E46" s="13" t="s">
        <v>116</v>
      </c>
      <c r="F46" s="6" t="s">
        <v>111</v>
      </c>
    </row>
    <row r="47" spans="2:6" x14ac:dyDescent="0.3">
      <c r="B47" s="6" t="s">
        <v>117</v>
      </c>
      <c r="C47" s="6" t="s">
        <v>118</v>
      </c>
      <c r="D47" s="12" t="s">
        <v>119</v>
      </c>
      <c r="E47" s="13" t="s">
        <v>90</v>
      </c>
      <c r="F47" s="6"/>
    </row>
    <row r="48" spans="2:6" x14ac:dyDescent="0.3">
      <c r="B48" s="6" t="s">
        <v>120</v>
      </c>
      <c r="C48" s="6" t="s">
        <v>121</v>
      </c>
      <c r="D48" s="12" t="s">
        <v>122</v>
      </c>
      <c r="E48" s="13" t="s">
        <v>90</v>
      </c>
      <c r="F48" s="6"/>
    </row>
    <row r="49" spans="2:6" ht="148.5" x14ac:dyDescent="0.3">
      <c r="B49" s="6" t="s">
        <v>120</v>
      </c>
      <c r="C49" s="6" t="s">
        <v>123</v>
      </c>
      <c r="D49" s="12" t="s">
        <v>85</v>
      </c>
      <c r="E49" s="13" t="s">
        <v>124</v>
      </c>
      <c r="F49" s="6" t="s">
        <v>35</v>
      </c>
    </row>
    <row r="50" spans="2:6" ht="148.5" x14ac:dyDescent="0.3">
      <c r="B50" s="6" t="s">
        <v>120</v>
      </c>
      <c r="C50" s="6" t="s">
        <v>125</v>
      </c>
      <c r="D50" s="12" t="s">
        <v>126</v>
      </c>
      <c r="E50" s="13" t="s">
        <v>7</v>
      </c>
      <c r="F50" s="6"/>
    </row>
    <row r="51" spans="2:6" ht="99" x14ac:dyDescent="0.3">
      <c r="B51" s="6" t="s">
        <v>127</v>
      </c>
      <c r="C51" s="6" t="s">
        <v>128</v>
      </c>
      <c r="D51" s="12" t="s">
        <v>129</v>
      </c>
      <c r="E51" s="13" t="s">
        <v>130</v>
      </c>
      <c r="F51" s="6"/>
    </row>
    <row r="52" spans="2:6" x14ac:dyDescent="0.3">
      <c r="B52" s="6" t="s">
        <v>127</v>
      </c>
      <c r="C52" s="6" t="s">
        <v>131</v>
      </c>
      <c r="D52" s="12" t="s">
        <v>132</v>
      </c>
      <c r="E52" s="13" t="s">
        <v>30</v>
      </c>
      <c r="F52" s="6"/>
    </row>
    <row r="53" spans="2:6" ht="148.5" x14ac:dyDescent="0.3">
      <c r="B53" s="6" t="s">
        <v>133</v>
      </c>
      <c r="C53" s="6" t="s">
        <v>134</v>
      </c>
      <c r="D53" s="12" t="s">
        <v>135</v>
      </c>
      <c r="E53" s="13" t="s">
        <v>7</v>
      </c>
      <c r="F53" s="6"/>
    </row>
    <row r="54" spans="2:6" ht="148.5" x14ac:dyDescent="0.3">
      <c r="B54" s="6" t="s">
        <v>133</v>
      </c>
      <c r="C54" s="6" t="s">
        <v>136</v>
      </c>
      <c r="D54" s="12" t="s">
        <v>137</v>
      </c>
      <c r="E54" s="13" t="s">
        <v>7</v>
      </c>
      <c r="F54" s="6"/>
    </row>
    <row r="55" spans="2:6" ht="148.5" x14ac:dyDescent="0.3">
      <c r="B55" s="6" t="s">
        <v>133</v>
      </c>
      <c r="C55" s="6" t="s">
        <v>138</v>
      </c>
      <c r="D55" s="12" t="s">
        <v>139</v>
      </c>
      <c r="E55" s="13" t="s">
        <v>7</v>
      </c>
      <c r="F55" s="6"/>
    </row>
    <row r="56" spans="2:6" ht="66" x14ac:dyDescent="0.3">
      <c r="B56" s="6" t="s">
        <v>133</v>
      </c>
      <c r="C56" s="6" t="s">
        <v>140</v>
      </c>
      <c r="D56" s="12" t="s">
        <v>141</v>
      </c>
      <c r="E56" s="13" t="s">
        <v>142</v>
      </c>
      <c r="F56" s="6"/>
    </row>
    <row r="57" spans="2:6" ht="148.5" x14ac:dyDescent="0.3">
      <c r="B57" s="6" t="s">
        <v>133</v>
      </c>
      <c r="C57" s="6" t="s">
        <v>143</v>
      </c>
      <c r="D57" s="12" t="s">
        <v>144</v>
      </c>
      <c r="E57" s="13" t="s">
        <v>7</v>
      </c>
      <c r="F57" s="6"/>
    </row>
    <row r="58" spans="2:6" x14ac:dyDescent="0.3">
      <c r="B58" s="6" t="s">
        <v>133</v>
      </c>
      <c r="C58" s="6" t="s">
        <v>145</v>
      </c>
      <c r="D58" s="12" t="s">
        <v>146</v>
      </c>
      <c r="E58" s="13" t="s">
        <v>90</v>
      </c>
      <c r="F58" s="6"/>
    </row>
    <row r="59" spans="2:6" ht="148.5" x14ac:dyDescent="0.3">
      <c r="B59" s="6" t="s">
        <v>133</v>
      </c>
      <c r="C59" s="6" t="s">
        <v>147</v>
      </c>
      <c r="D59" s="12" t="s">
        <v>148</v>
      </c>
      <c r="E59" s="13" t="s">
        <v>7</v>
      </c>
      <c r="F59" s="6"/>
    </row>
    <row r="60" spans="2:6" ht="33" x14ac:dyDescent="0.3">
      <c r="B60" s="6" t="s">
        <v>133</v>
      </c>
      <c r="C60" s="6" t="s">
        <v>149</v>
      </c>
      <c r="D60" s="12" t="s">
        <v>141</v>
      </c>
      <c r="E60" s="13" t="s">
        <v>150</v>
      </c>
      <c r="F60" s="6"/>
    </row>
    <row r="61" spans="2:6" ht="148.5" x14ac:dyDescent="0.3">
      <c r="B61" s="6" t="s">
        <v>133</v>
      </c>
      <c r="C61" s="6" t="s">
        <v>151</v>
      </c>
      <c r="D61" s="12" t="s">
        <v>144</v>
      </c>
      <c r="E61" s="13" t="s">
        <v>7</v>
      </c>
      <c r="F61" s="6"/>
    </row>
    <row r="62" spans="2:6" x14ac:dyDescent="0.3">
      <c r="B62" s="6" t="s">
        <v>133</v>
      </c>
      <c r="C62" s="6" t="s">
        <v>152</v>
      </c>
      <c r="D62" s="12" t="s">
        <v>146</v>
      </c>
      <c r="E62" s="13" t="s">
        <v>90</v>
      </c>
      <c r="F62" s="6"/>
    </row>
    <row r="63" spans="2:6" ht="148.5" x14ac:dyDescent="0.3">
      <c r="B63" s="6" t="s">
        <v>133</v>
      </c>
      <c r="C63" s="6" t="s">
        <v>153</v>
      </c>
      <c r="D63" s="12" t="s">
        <v>148</v>
      </c>
      <c r="E63" s="13" t="s">
        <v>7</v>
      </c>
      <c r="F63" s="6"/>
    </row>
    <row r="64" spans="2:6" ht="181.5" x14ac:dyDescent="0.3">
      <c r="B64" s="6" t="s">
        <v>133</v>
      </c>
      <c r="C64" s="6" t="s">
        <v>154</v>
      </c>
      <c r="D64" s="12" t="s">
        <v>155</v>
      </c>
      <c r="E64" s="13" t="s">
        <v>156</v>
      </c>
      <c r="F64" s="6"/>
    </row>
    <row r="65" spans="2:6" ht="231" x14ac:dyDescent="0.3">
      <c r="B65" s="6" t="s">
        <v>133</v>
      </c>
      <c r="C65" s="6" t="s">
        <v>157</v>
      </c>
      <c r="D65" s="12" t="s">
        <v>158</v>
      </c>
      <c r="E65" s="13" t="s">
        <v>159</v>
      </c>
      <c r="F65" s="6"/>
    </row>
    <row r="66" spans="2:6" ht="148.5" x14ac:dyDescent="0.3">
      <c r="B66" s="6" t="s">
        <v>133</v>
      </c>
      <c r="C66" s="6" t="s">
        <v>160</v>
      </c>
      <c r="D66" s="12" t="s">
        <v>161</v>
      </c>
      <c r="E66" s="13" t="s">
        <v>7</v>
      </c>
      <c r="F66" s="6"/>
    </row>
    <row r="67" spans="2:6" ht="148.5" x14ac:dyDescent="0.3">
      <c r="B67" s="6" t="s">
        <v>133</v>
      </c>
      <c r="C67" s="6" t="s">
        <v>162</v>
      </c>
      <c r="D67" s="12" t="s">
        <v>141</v>
      </c>
      <c r="E67" s="13" t="s">
        <v>163</v>
      </c>
      <c r="F67" s="6"/>
    </row>
    <row r="68" spans="2:6" ht="148.5" x14ac:dyDescent="0.3">
      <c r="B68" s="6" t="s">
        <v>133</v>
      </c>
      <c r="C68" s="6" t="s">
        <v>164</v>
      </c>
      <c r="D68" s="12" t="s">
        <v>165</v>
      </c>
      <c r="E68" s="13" t="s">
        <v>7</v>
      </c>
      <c r="F68" s="6"/>
    </row>
    <row r="69" spans="2:6" x14ac:dyDescent="0.3">
      <c r="B69" s="6" t="s">
        <v>133</v>
      </c>
      <c r="C69" s="6" t="s">
        <v>166</v>
      </c>
      <c r="D69" s="12" t="s">
        <v>167</v>
      </c>
      <c r="E69" s="13" t="s">
        <v>90</v>
      </c>
      <c r="F69" s="6"/>
    </row>
    <row r="70" spans="2:6" ht="148.5" x14ac:dyDescent="0.3">
      <c r="B70" s="6" t="s">
        <v>133</v>
      </c>
      <c r="C70" s="6" t="s">
        <v>168</v>
      </c>
      <c r="D70" s="12" t="s">
        <v>169</v>
      </c>
      <c r="E70" s="13" t="s">
        <v>7</v>
      </c>
      <c r="F70" s="6"/>
    </row>
    <row r="71" spans="2:6" ht="148.5" x14ac:dyDescent="0.3">
      <c r="B71" s="6" t="s">
        <v>133</v>
      </c>
      <c r="C71" s="6" t="s">
        <v>170</v>
      </c>
      <c r="D71" s="12" t="s">
        <v>169</v>
      </c>
      <c r="E71" s="13" t="s">
        <v>7</v>
      </c>
      <c r="F71" s="6"/>
    </row>
    <row r="72" spans="2:6" ht="148.5" x14ac:dyDescent="0.3">
      <c r="B72" s="6" t="s">
        <v>133</v>
      </c>
      <c r="C72" s="6" t="s">
        <v>171</v>
      </c>
      <c r="D72" s="12" t="s">
        <v>172</v>
      </c>
      <c r="E72" s="13" t="s">
        <v>7</v>
      </c>
      <c r="F72" s="6"/>
    </row>
    <row r="73" spans="2:6" ht="99" x14ac:dyDescent="0.3">
      <c r="B73" s="6" t="s">
        <v>133</v>
      </c>
      <c r="C73" s="6" t="s">
        <v>173</v>
      </c>
      <c r="D73" s="12" t="s">
        <v>174</v>
      </c>
      <c r="E73" s="13" t="s">
        <v>175</v>
      </c>
      <c r="F73" s="6" t="s">
        <v>176</v>
      </c>
    </row>
    <row r="74" spans="2:6" ht="82.5" x14ac:dyDescent="0.3">
      <c r="B74" s="6" t="s">
        <v>133</v>
      </c>
      <c r="C74" s="6" t="s">
        <v>177</v>
      </c>
      <c r="D74" s="12" t="s">
        <v>174</v>
      </c>
      <c r="E74" s="13" t="s">
        <v>178</v>
      </c>
      <c r="F74" s="6"/>
    </row>
    <row r="75" spans="2:6" ht="148.5" x14ac:dyDescent="0.3">
      <c r="B75" s="6" t="s">
        <v>133</v>
      </c>
      <c r="C75" s="6" t="s">
        <v>179</v>
      </c>
      <c r="D75" s="12" t="s">
        <v>180</v>
      </c>
      <c r="E75" s="13" t="s">
        <v>7</v>
      </c>
      <c r="F75" s="6"/>
    </row>
    <row r="76" spans="2:6" ht="148.5" x14ac:dyDescent="0.3">
      <c r="B76" s="6" t="s">
        <v>133</v>
      </c>
      <c r="C76" s="6" t="s">
        <v>181</v>
      </c>
      <c r="D76" s="12" t="s">
        <v>182</v>
      </c>
      <c r="E76" s="13" t="s">
        <v>7</v>
      </c>
      <c r="F76" s="6"/>
    </row>
    <row r="77" spans="2:6" ht="148.5" x14ac:dyDescent="0.3">
      <c r="B77" s="6" t="s">
        <v>133</v>
      </c>
      <c r="C77" s="6" t="s">
        <v>183</v>
      </c>
      <c r="D77" s="12" t="s">
        <v>184</v>
      </c>
      <c r="E77" s="13" t="s">
        <v>7</v>
      </c>
      <c r="F77" s="6"/>
    </row>
    <row r="78" spans="2:6" ht="148.5" x14ac:dyDescent="0.3">
      <c r="B78" s="6" t="s">
        <v>185</v>
      </c>
      <c r="C78" s="6" t="s">
        <v>186</v>
      </c>
      <c r="D78" s="12" t="s">
        <v>187</v>
      </c>
      <c r="E78" s="13" t="s">
        <v>7</v>
      </c>
      <c r="F78" s="6"/>
    </row>
    <row r="79" spans="2:6" ht="66" x14ac:dyDescent="0.3">
      <c r="B79" s="6" t="s">
        <v>185</v>
      </c>
      <c r="C79" s="6" t="s">
        <v>188</v>
      </c>
      <c r="D79" s="12" t="s">
        <v>189</v>
      </c>
      <c r="E79" s="15" t="s">
        <v>190</v>
      </c>
      <c r="F79" s="6" t="s">
        <v>191</v>
      </c>
    </row>
    <row r="80" spans="2:6" ht="148.5" x14ac:dyDescent="0.3">
      <c r="B80" s="6" t="s">
        <v>185</v>
      </c>
      <c r="C80" s="6" t="s">
        <v>192</v>
      </c>
      <c r="D80" s="12" t="s">
        <v>193</v>
      </c>
      <c r="E80" s="15" t="s">
        <v>7</v>
      </c>
      <c r="F80" s="6"/>
    </row>
    <row r="81" spans="2:6" x14ac:dyDescent="0.3">
      <c r="B81" s="6" t="s">
        <v>185</v>
      </c>
      <c r="C81" s="6" t="s">
        <v>194</v>
      </c>
      <c r="D81" s="12" t="s">
        <v>195</v>
      </c>
      <c r="E81" s="13" t="s">
        <v>90</v>
      </c>
      <c r="F81" s="6"/>
    </row>
    <row r="82" spans="2:6" ht="148.5" x14ac:dyDescent="0.3">
      <c r="B82" s="6" t="s">
        <v>185</v>
      </c>
      <c r="C82" s="6" t="s">
        <v>196</v>
      </c>
      <c r="D82" s="12" t="s">
        <v>197</v>
      </c>
      <c r="E82" s="15" t="s">
        <v>7</v>
      </c>
      <c r="F82" s="6"/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BCB1-3573-47D7-9066-D154EDDFABE6}">
  <sheetPr codeName="Sheet2">
    <tabColor theme="9" tint="0.79998168889431442"/>
  </sheetPr>
  <dimension ref="A2:H33"/>
  <sheetViews>
    <sheetView showGridLines="0" workbookViewId="0">
      <selection activeCell="B3" sqref="B3"/>
    </sheetView>
  </sheetViews>
  <sheetFormatPr defaultRowHeight="16.5" x14ac:dyDescent="0.3"/>
  <cols>
    <col min="1" max="1" width="1.75" style="26" customWidth="1"/>
    <col min="2" max="3" width="32.625" customWidth="1"/>
    <col min="4" max="6" width="22.25" style="8" customWidth="1"/>
    <col min="7" max="7" width="26.75" style="8" customWidth="1"/>
    <col min="8" max="8" width="22.25" style="8" customWidth="1"/>
    <col min="9" max="10" width="23.125" customWidth="1"/>
  </cols>
  <sheetData>
    <row r="2" spans="1:8" ht="17.25" x14ac:dyDescent="0.3">
      <c r="B2" s="33" t="s">
        <v>789</v>
      </c>
      <c r="C2" s="8"/>
      <c r="D2" s="63" t="s">
        <v>815</v>
      </c>
    </row>
    <row r="3" spans="1:8" ht="33.75" thickBot="1" x14ac:dyDescent="0.35">
      <c r="A3" s="64" t="s">
        <v>826</v>
      </c>
      <c r="B3" s="59" t="s">
        <v>807</v>
      </c>
      <c r="C3" s="61" t="s">
        <v>808</v>
      </c>
      <c r="D3" s="60" t="s">
        <v>816</v>
      </c>
      <c r="E3" s="62" t="s">
        <v>311</v>
      </c>
      <c r="F3" s="59" t="s">
        <v>312</v>
      </c>
      <c r="G3" s="59" t="s">
        <v>809</v>
      </c>
      <c r="H3" s="59" t="s">
        <v>313</v>
      </c>
    </row>
    <row r="4" spans="1:8" x14ac:dyDescent="0.3">
      <c r="B4" s="36"/>
      <c r="C4" s="36"/>
      <c r="D4" s="37"/>
      <c r="E4" s="37"/>
      <c r="F4" s="37"/>
      <c r="G4" s="37"/>
      <c r="H4" s="57"/>
    </row>
    <row r="5" spans="1:8" x14ac:dyDescent="0.3">
      <c r="B5" s="34"/>
      <c r="C5" s="34"/>
      <c r="D5" s="35"/>
      <c r="E5" s="35"/>
      <c r="F5" s="35"/>
      <c r="G5" s="35"/>
      <c r="H5" s="58"/>
    </row>
    <row r="6" spans="1:8" x14ac:dyDescent="0.3">
      <c r="B6" s="34"/>
      <c r="C6" s="34"/>
      <c r="D6" s="35"/>
      <c r="E6" s="35"/>
      <c r="F6" s="35"/>
      <c r="G6" s="35"/>
      <c r="H6" s="58"/>
    </row>
    <row r="7" spans="1:8" x14ac:dyDescent="0.3">
      <c r="B7" s="34"/>
      <c r="C7" s="34"/>
      <c r="D7" s="35"/>
      <c r="E7" s="35"/>
      <c r="F7" s="35"/>
      <c r="G7" s="35"/>
      <c r="H7" s="58"/>
    </row>
    <row r="8" spans="1:8" x14ac:dyDescent="0.3">
      <c r="B8" s="34"/>
      <c r="C8" s="34"/>
      <c r="D8" s="35"/>
      <c r="E8" s="35"/>
      <c r="F8" s="35"/>
      <c r="G8" s="35"/>
      <c r="H8" s="58"/>
    </row>
    <row r="9" spans="1:8" x14ac:dyDescent="0.3">
      <c r="B9" s="34"/>
      <c r="C9" s="34"/>
      <c r="D9" s="35"/>
      <c r="E9" s="35"/>
      <c r="F9" s="35"/>
      <c r="G9" s="35"/>
      <c r="H9" s="58"/>
    </row>
    <row r="10" spans="1:8" x14ac:dyDescent="0.3">
      <c r="B10" s="34"/>
      <c r="C10" s="34"/>
      <c r="D10" s="35"/>
      <c r="E10" s="35"/>
      <c r="F10" s="35"/>
      <c r="G10" s="35"/>
      <c r="H10" s="58"/>
    </row>
    <row r="11" spans="1:8" x14ac:dyDescent="0.3">
      <c r="B11" s="34"/>
      <c r="C11" s="34"/>
      <c r="D11" s="35"/>
      <c r="E11" s="35"/>
      <c r="F11" s="35"/>
      <c r="G11" s="35"/>
      <c r="H11" s="58"/>
    </row>
    <row r="12" spans="1:8" x14ac:dyDescent="0.3">
      <c r="B12" s="34"/>
      <c r="C12" s="34"/>
      <c r="D12" s="35"/>
      <c r="E12" s="35"/>
      <c r="F12" s="35"/>
      <c r="G12" s="35"/>
      <c r="H12" s="58"/>
    </row>
    <row r="13" spans="1:8" x14ac:dyDescent="0.3">
      <c r="B13" s="34"/>
      <c r="C13" s="34"/>
      <c r="D13" s="35"/>
      <c r="E13" s="35"/>
      <c r="F13" s="35"/>
      <c r="G13" s="35"/>
      <c r="H13" s="58"/>
    </row>
    <row r="14" spans="1:8" x14ac:dyDescent="0.3">
      <c r="B14" s="34"/>
      <c r="C14" s="34"/>
      <c r="D14" s="35"/>
      <c r="E14" s="35"/>
      <c r="F14" s="35"/>
      <c r="G14" s="35"/>
      <c r="H14" s="58"/>
    </row>
    <row r="15" spans="1:8" x14ac:dyDescent="0.3">
      <c r="B15" s="34"/>
      <c r="C15" s="34"/>
      <c r="D15" s="35"/>
      <c r="E15" s="35"/>
      <c r="F15" s="35"/>
      <c r="G15" s="35"/>
      <c r="H15" s="58"/>
    </row>
    <row r="16" spans="1:8" x14ac:dyDescent="0.3">
      <c r="B16" s="34"/>
      <c r="C16" s="34"/>
      <c r="D16" s="35"/>
      <c r="E16" s="35"/>
      <c r="F16" s="35"/>
      <c r="G16" s="35"/>
      <c r="H16" s="58"/>
    </row>
    <row r="17" spans="2:8" x14ac:dyDescent="0.3">
      <c r="B17" s="34"/>
      <c r="C17" s="34"/>
      <c r="D17" s="35"/>
      <c r="E17" s="35"/>
      <c r="F17" s="35"/>
      <c r="G17" s="35"/>
      <c r="H17" s="58"/>
    </row>
    <row r="18" spans="2:8" x14ac:dyDescent="0.3">
      <c r="B18" s="34"/>
      <c r="C18" s="34"/>
      <c r="D18" s="35"/>
      <c r="E18" s="35"/>
      <c r="F18" s="35"/>
      <c r="G18" s="35"/>
      <c r="H18" s="58"/>
    </row>
    <row r="19" spans="2:8" x14ac:dyDescent="0.3">
      <c r="B19" s="34"/>
      <c r="C19" s="34"/>
      <c r="D19" s="35"/>
      <c r="E19" s="35"/>
      <c r="F19" s="35"/>
      <c r="G19" s="35"/>
      <c r="H19" s="58"/>
    </row>
    <row r="20" spans="2:8" x14ac:dyDescent="0.3">
      <c r="B20" s="34"/>
      <c r="C20" s="34"/>
      <c r="D20" s="35"/>
      <c r="E20" s="35"/>
      <c r="F20" s="35"/>
      <c r="G20" s="35"/>
      <c r="H20" s="58"/>
    </row>
    <row r="21" spans="2:8" x14ac:dyDescent="0.3">
      <c r="B21" s="34"/>
      <c r="C21" s="34"/>
      <c r="D21" s="35"/>
      <c r="E21" s="35"/>
      <c r="F21" s="35"/>
      <c r="G21" s="35"/>
      <c r="H21" s="58"/>
    </row>
    <row r="22" spans="2:8" x14ac:dyDescent="0.3">
      <c r="B22" s="34"/>
      <c r="C22" s="34"/>
      <c r="D22" s="35"/>
      <c r="E22" s="35"/>
      <c r="F22" s="35"/>
      <c r="G22" s="35"/>
      <c r="H22" s="58"/>
    </row>
    <row r="23" spans="2:8" x14ac:dyDescent="0.3">
      <c r="B23" s="34"/>
      <c r="C23" s="34"/>
      <c r="D23" s="35"/>
      <c r="E23" s="35"/>
      <c r="F23" s="35"/>
      <c r="G23" s="35"/>
      <c r="H23" s="58"/>
    </row>
    <row r="24" spans="2:8" x14ac:dyDescent="0.3">
      <c r="B24" s="34"/>
      <c r="C24" s="34"/>
      <c r="D24" s="35"/>
      <c r="E24" s="35"/>
      <c r="F24" s="35"/>
      <c r="G24" s="35"/>
      <c r="H24" s="58"/>
    </row>
    <row r="25" spans="2:8" x14ac:dyDescent="0.3">
      <c r="B25" s="34"/>
      <c r="C25" s="34"/>
      <c r="D25" s="35"/>
      <c r="E25" s="35"/>
      <c r="F25" s="35"/>
      <c r="G25" s="35"/>
      <c r="H25" s="58"/>
    </row>
    <row r="26" spans="2:8" x14ac:dyDescent="0.3">
      <c r="B26" s="34"/>
      <c r="C26" s="34"/>
      <c r="D26" s="35"/>
      <c r="E26" s="35"/>
      <c r="F26" s="35"/>
      <c r="G26" s="35"/>
      <c r="H26" s="58"/>
    </row>
    <row r="27" spans="2:8" x14ac:dyDescent="0.3">
      <c r="B27" s="34"/>
      <c r="C27" s="34"/>
      <c r="D27" s="35"/>
      <c r="E27" s="35"/>
      <c r="F27" s="35"/>
      <c r="G27" s="35"/>
      <c r="H27" s="58"/>
    </row>
    <row r="28" spans="2:8" x14ac:dyDescent="0.3">
      <c r="B28" s="34"/>
      <c r="C28" s="34"/>
      <c r="D28" s="35"/>
      <c r="E28" s="35"/>
      <c r="F28" s="35"/>
      <c r="G28" s="35"/>
      <c r="H28" s="58"/>
    </row>
    <row r="29" spans="2:8" x14ac:dyDescent="0.3">
      <c r="B29" s="34"/>
      <c r="C29" s="34"/>
      <c r="D29" s="35"/>
      <c r="E29" s="35"/>
      <c r="F29" s="35"/>
      <c r="G29" s="35"/>
      <c r="H29" s="58"/>
    </row>
    <row r="30" spans="2:8" x14ac:dyDescent="0.3">
      <c r="B30" s="34"/>
      <c r="C30" s="34"/>
      <c r="D30" s="35"/>
      <c r="E30" s="35"/>
      <c r="F30" s="35"/>
      <c r="G30" s="35"/>
      <c r="H30" s="58"/>
    </row>
    <row r="31" spans="2:8" x14ac:dyDescent="0.3">
      <c r="B31" s="34"/>
      <c r="C31" s="34"/>
      <c r="D31" s="35"/>
      <c r="E31" s="35"/>
      <c r="F31" s="35"/>
      <c r="G31" s="35"/>
      <c r="H31" s="58"/>
    </row>
    <row r="32" spans="2:8" x14ac:dyDescent="0.3">
      <c r="B32" s="34"/>
      <c r="C32" s="34"/>
      <c r="D32" s="35"/>
      <c r="E32" s="35"/>
      <c r="F32" s="35"/>
      <c r="G32" s="35"/>
      <c r="H32" s="58"/>
    </row>
    <row r="33" spans="1:1" x14ac:dyDescent="0.3">
      <c r="A33" s="64" t="s">
        <v>827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BA0B-7741-43BB-9D63-BBA312AB123F}">
  <sheetPr codeName="Sheet3">
    <tabColor theme="5" tint="0.79998168889431442"/>
  </sheetPr>
  <dimension ref="A1:E82"/>
  <sheetViews>
    <sheetView showGridLines="0" zoomScaleNormal="100" workbookViewId="0">
      <selection activeCell="B30" sqref="B30"/>
    </sheetView>
  </sheetViews>
  <sheetFormatPr defaultRowHeight="16.5" x14ac:dyDescent="0.3"/>
  <cols>
    <col min="1" max="1" width="1" customWidth="1"/>
    <col min="2" max="2" width="113.625" style="18" customWidth="1"/>
    <col min="3" max="3" width="10.5" bestFit="1" customWidth="1"/>
    <col min="4" max="4" width="17.125" style="5" customWidth="1"/>
    <col min="5" max="5" width="13.25" style="5" customWidth="1"/>
  </cols>
  <sheetData>
    <row r="1" spans="1:5" ht="26.25" x14ac:dyDescent="0.3">
      <c r="A1" s="26" t="s">
        <v>198</v>
      </c>
      <c r="B1" s="21" t="s">
        <v>199</v>
      </c>
      <c r="C1" s="20"/>
      <c r="D1" s="23"/>
      <c r="E1" s="23"/>
    </row>
    <row r="3" spans="1:5" x14ac:dyDescent="0.3">
      <c r="B3" s="19" t="s">
        <v>200</v>
      </c>
      <c r="C3" s="25" t="s">
        <v>201</v>
      </c>
      <c r="D3" s="10" t="s">
        <v>202</v>
      </c>
      <c r="E3" s="10" t="s">
        <v>202</v>
      </c>
    </row>
    <row r="4" spans="1:5" x14ac:dyDescent="0.3">
      <c r="B4" s="24" t="s">
        <v>203</v>
      </c>
      <c r="C4" s="69">
        <v>1</v>
      </c>
      <c r="D4" s="68" t="s">
        <v>204</v>
      </c>
      <c r="E4" s="68">
        <v>1</v>
      </c>
    </row>
    <row r="5" spans="1:5" x14ac:dyDescent="0.3">
      <c r="B5" s="28" t="s">
        <v>205</v>
      </c>
      <c r="C5" s="69"/>
      <c r="D5" s="67"/>
      <c r="E5" s="67"/>
    </row>
    <row r="6" spans="1:5" x14ac:dyDescent="0.3">
      <c r="B6" s="28" t="s">
        <v>206</v>
      </c>
      <c r="C6" s="69"/>
      <c r="D6" s="67"/>
      <c r="E6" s="67"/>
    </row>
    <row r="7" spans="1:5" x14ac:dyDescent="0.3">
      <c r="B7" s="29" t="s">
        <v>207</v>
      </c>
      <c r="C7" s="69"/>
      <c r="D7" s="67"/>
      <c r="E7" s="67"/>
    </row>
    <row r="8" spans="1:5" x14ac:dyDescent="0.3">
      <c r="B8" s="29" t="s">
        <v>208</v>
      </c>
      <c r="C8" s="69"/>
      <c r="D8" s="67"/>
      <c r="E8" s="67"/>
    </row>
    <row r="9" spans="1:5" x14ac:dyDescent="0.3">
      <c r="B9" s="28" t="s">
        <v>209</v>
      </c>
      <c r="C9" s="69"/>
      <c r="D9" s="67"/>
      <c r="E9" s="67"/>
    </row>
    <row r="10" spans="1:5" x14ac:dyDescent="0.3">
      <c r="B10" s="29" t="s">
        <v>210</v>
      </c>
      <c r="C10" s="69"/>
      <c r="D10" s="22" t="s">
        <v>211</v>
      </c>
      <c r="E10" s="22">
        <v>2</v>
      </c>
    </row>
    <row r="11" spans="1:5" x14ac:dyDescent="0.3">
      <c r="B11" s="29" t="s">
        <v>212</v>
      </c>
      <c r="C11" s="69">
        <v>2</v>
      </c>
      <c r="D11" s="67" t="s">
        <v>213</v>
      </c>
      <c r="E11" s="67">
        <v>3</v>
      </c>
    </row>
    <row r="12" spans="1:5" x14ac:dyDescent="0.3">
      <c r="B12" s="29" t="s">
        <v>214</v>
      </c>
      <c r="C12" s="69"/>
      <c r="D12" s="67"/>
      <c r="E12" s="67"/>
    </row>
    <row r="13" spans="1:5" x14ac:dyDescent="0.3">
      <c r="B13" s="29" t="s">
        <v>215</v>
      </c>
      <c r="C13" s="69">
        <v>3</v>
      </c>
      <c r="D13" s="22" t="s">
        <v>216</v>
      </c>
      <c r="E13" s="22">
        <v>4</v>
      </c>
    </row>
    <row r="14" spans="1:5" x14ac:dyDescent="0.3">
      <c r="B14" s="29" t="s">
        <v>217</v>
      </c>
      <c r="C14" s="69"/>
      <c r="D14" s="22" t="s">
        <v>218</v>
      </c>
      <c r="E14" s="22">
        <v>5</v>
      </c>
    </row>
    <row r="15" spans="1:5" x14ac:dyDescent="0.3">
      <c r="B15" s="28" t="s">
        <v>219</v>
      </c>
      <c r="C15" s="69"/>
      <c r="D15" s="22" t="s">
        <v>220</v>
      </c>
      <c r="E15" s="22">
        <v>6</v>
      </c>
    </row>
    <row r="16" spans="1:5" x14ac:dyDescent="0.3">
      <c r="B16" s="24" t="s">
        <v>221</v>
      </c>
      <c r="C16" s="69">
        <v>4</v>
      </c>
      <c r="D16" s="67" t="s">
        <v>222</v>
      </c>
      <c r="E16" s="67">
        <v>7</v>
      </c>
    </row>
    <row r="17" spans="2:5" ht="27" x14ac:dyDescent="0.3">
      <c r="B17" s="30" t="s">
        <v>825</v>
      </c>
      <c r="C17" s="69"/>
      <c r="D17" s="67"/>
      <c r="E17" s="67"/>
    </row>
    <row r="18" spans="2:5" x14ac:dyDescent="0.3">
      <c r="B18" s="27" t="s">
        <v>224</v>
      </c>
      <c r="C18" s="69"/>
      <c r="D18" s="67"/>
      <c r="E18" s="67"/>
    </row>
    <row r="19" spans="2:5" x14ac:dyDescent="0.3">
      <c r="B19" s="27" t="s">
        <v>225</v>
      </c>
      <c r="C19" s="69"/>
      <c r="D19" s="67"/>
      <c r="E19" s="67"/>
    </row>
    <row r="20" spans="2:5" x14ac:dyDescent="0.3">
      <c r="B20" s="29" t="s">
        <v>226</v>
      </c>
      <c r="C20" s="69"/>
      <c r="D20" s="67"/>
      <c r="E20" s="67"/>
    </row>
    <row r="21" spans="2:5" x14ac:dyDescent="0.3">
      <c r="B21" s="29" t="s">
        <v>227</v>
      </c>
      <c r="C21" s="69"/>
      <c r="D21" s="67"/>
      <c r="E21" s="67"/>
    </row>
    <row r="22" spans="2:5" x14ac:dyDescent="0.3">
      <c r="B22" s="29" t="s">
        <v>228</v>
      </c>
      <c r="C22" s="69"/>
      <c r="D22" s="67"/>
      <c r="E22" s="67"/>
    </row>
    <row r="23" spans="2:5" x14ac:dyDescent="0.3">
      <c r="B23" s="29" t="s">
        <v>229</v>
      </c>
      <c r="C23" s="69">
        <v>5</v>
      </c>
      <c r="D23" s="67"/>
      <c r="E23" s="67"/>
    </row>
    <row r="24" spans="2:5" x14ac:dyDescent="0.3">
      <c r="B24" s="29" t="s">
        <v>230</v>
      </c>
      <c r="C24" s="69"/>
      <c r="D24" s="67"/>
      <c r="E24" s="67"/>
    </row>
    <row r="25" spans="2:5" x14ac:dyDescent="0.3">
      <c r="B25" s="27" t="s">
        <v>231</v>
      </c>
      <c r="C25" s="69"/>
      <c r="D25" s="67"/>
      <c r="E25" s="67"/>
    </row>
    <row r="26" spans="2:5" x14ac:dyDescent="0.3">
      <c r="B26" s="24" t="s">
        <v>232</v>
      </c>
      <c r="C26" s="69">
        <v>6</v>
      </c>
      <c r="D26" s="67" t="s">
        <v>233</v>
      </c>
      <c r="E26" s="67">
        <v>9</v>
      </c>
    </row>
    <row r="27" spans="2:5" x14ac:dyDescent="0.3">
      <c r="B27" s="19" t="s">
        <v>234</v>
      </c>
      <c r="C27" s="69"/>
      <c r="D27" s="67"/>
      <c r="E27" s="67"/>
    </row>
    <row r="28" spans="2:5" x14ac:dyDescent="0.3">
      <c r="B28" s="19" t="s">
        <v>235</v>
      </c>
      <c r="C28" s="69"/>
      <c r="D28" s="67"/>
      <c r="E28" s="67"/>
    </row>
    <row r="29" spans="2:5" x14ac:dyDescent="0.3">
      <c r="B29" s="27" t="s">
        <v>236</v>
      </c>
      <c r="C29" s="69"/>
      <c r="D29" s="67"/>
      <c r="E29" s="67"/>
    </row>
    <row r="30" spans="2:5" x14ac:dyDescent="0.3">
      <c r="B30" s="29" t="s">
        <v>237</v>
      </c>
      <c r="C30" s="6">
        <v>7</v>
      </c>
      <c r="D30" s="67"/>
      <c r="E30" s="67"/>
    </row>
    <row r="31" spans="2:5" x14ac:dyDescent="0.3">
      <c r="B31" s="29" t="s">
        <v>241</v>
      </c>
      <c r="C31" s="69">
        <v>8</v>
      </c>
      <c r="D31" s="67"/>
      <c r="E31" s="67"/>
    </row>
    <row r="32" spans="2:5" x14ac:dyDescent="0.3">
      <c r="B32" s="31" t="s">
        <v>242</v>
      </c>
      <c r="C32" s="69"/>
      <c r="D32" s="67"/>
      <c r="E32" s="67"/>
    </row>
    <row r="33" spans="2:5" x14ac:dyDescent="0.3">
      <c r="B33" s="31" t="s">
        <v>245</v>
      </c>
      <c r="C33" s="69">
        <v>9</v>
      </c>
      <c r="D33" s="67"/>
      <c r="E33" s="67"/>
    </row>
    <row r="34" spans="2:5" x14ac:dyDescent="0.3">
      <c r="B34" s="31" t="s">
        <v>246</v>
      </c>
      <c r="C34" s="69"/>
      <c r="D34" s="67"/>
      <c r="E34" s="67"/>
    </row>
    <row r="35" spans="2:5" x14ac:dyDescent="0.3">
      <c r="B35" s="27" t="s">
        <v>247</v>
      </c>
      <c r="C35" s="69"/>
      <c r="D35" s="67"/>
      <c r="E35" s="67"/>
    </row>
    <row r="36" spans="2:5" x14ac:dyDescent="0.3">
      <c r="B36" s="29" t="s">
        <v>248</v>
      </c>
      <c r="C36" s="69"/>
      <c r="D36" s="67"/>
      <c r="E36" s="67"/>
    </row>
    <row r="37" spans="2:5" x14ac:dyDescent="0.3">
      <c r="B37" s="31" t="s">
        <v>249</v>
      </c>
      <c r="C37" s="69"/>
      <c r="D37" s="67"/>
      <c r="E37" s="67"/>
    </row>
    <row r="38" spans="2:5" x14ac:dyDescent="0.3">
      <c r="B38" s="31" t="s">
        <v>790</v>
      </c>
      <c r="C38" s="6">
        <v>10</v>
      </c>
      <c r="D38" s="67"/>
      <c r="E38" s="67"/>
    </row>
    <row r="39" spans="2:5" x14ac:dyDescent="0.3">
      <c r="B39" s="31" t="s">
        <v>253</v>
      </c>
      <c r="C39" s="69">
        <v>11</v>
      </c>
      <c r="D39" s="67"/>
      <c r="E39" s="67"/>
    </row>
    <row r="40" spans="2:5" x14ac:dyDescent="0.3">
      <c r="B40" s="29" t="s">
        <v>254</v>
      </c>
      <c r="C40" s="69"/>
      <c r="D40" s="67"/>
      <c r="E40" s="67"/>
    </row>
    <row r="41" spans="2:5" x14ac:dyDescent="0.3">
      <c r="B41" s="31" t="s">
        <v>255</v>
      </c>
      <c r="C41" s="69"/>
      <c r="D41" s="67"/>
      <c r="E41" s="67"/>
    </row>
    <row r="42" spans="2:5" x14ac:dyDescent="0.3">
      <c r="B42" s="31" t="s">
        <v>256</v>
      </c>
      <c r="C42" s="69"/>
      <c r="D42" s="67"/>
      <c r="E42" s="67"/>
    </row>
    <row r="43" spans="2:5" x14ac:dyDescent="0.3">
      <c r="B43" s="29" t="s">
        <v>257</v>
      </c>
      <c r="C43" s="69">
        <v>12</v>
      </c>
      <c r="D43" s="67"/>
      <c r="E43" s="67"/>
    </row>
    <row r="44" spans="2:5" x14ac:dyDescent="0.3">
      <c r="B44" s="31" t="s">
        <v>258</v>
      </c>
      <c r="C44" s="69"/>
      <c r="D44" s="67"/>
      <c r="E44" s="67"/>
    </row>
    <row r="45" spans="2:5" x14ac:dyDescent="0.3">
      <c r="B45" s="31" t="s">
        <v>259</v>
      </c>
      <c r="C45" s="69"/>
      <c r="D45" s="67"/>
      <c r="E45" s="67"/>
    </row>
    <row r="46" spans="2:5" x14ac:dyDescent="0.3">
      <c r="B46" s="27" t="s">
        <v>260</v>
      </c>
      <c r="C46" s="69">
        <v>13</v>
      </c>
      <c r="D46" s="67"/>
      <c r="E46" s="67"/>
    </row>
    <row r="47" spans="2:5" x14ac:dyDescent="0.3">
      <c r="B47" s="29" t="s">
        <v>261</v>
      </c>
      <c r="C47" s="69"/>
      <c r="D47" s="67"/>
      <c r="E47" s="67"/>
    </row>
    <row r="48" spans="2:5" x14ac:dyDescent="0.3">
      <c r="B48" s="31" t="s">
        <v>262</v>
      </c>
      <c r="C48" s="69"/>
      <c r="D48" s="67"/>
      <c r="E48" s="67"/>
    </row>
    <row r="49" spans="2:5" x14ac:dyDescent="0.3">
      <c r="B49" s="31" t="s">
        <v>791</v>
      </c>
      <c r="C49" s="69">
        <v>14</v>
      </c>
      <c r="D49" s="67"/>
      <c r="E49" s="67"/>
    </row>
    <row r="50" spans="2:5" x14ac:dyDescent="0.3">
      <c r="B50" s="29" t="s">
        <v>264</v>
      </c>
      <c r="C50" s="69"/>
      <c r="D50" s="67"/>
      <c r="E50" s="67"/>
    </row>
    <row r="51" spans="2:5" ht="16.899999999999999" customHeight="1" x14ac:dyDescent="0.3">
      <c r="B51" s="32" t="s">
        <v>265</v>
      </c>
      <c r="C51" s="69"/>
      <c r="D51" s="67"/>
      <c r="E51" s="67"/>
    </row>
    <row r="52" spans="2:5" x14ac:dyDescent="0.3">
      <c r="B52" s="31" t="s">
        <v>266</v>
      </c>
      <c r="C52" s="69"/>
      <c r="D52" s="67"/>
      <c r="E52" s="67"/>
    </row>
    <row r="53" spans="2:5" x14ac:dyDescent="0.3">
      <c r="B53" s="27" t="s">
        <v>267</v>
      </c>
      <c r="C53" s="69">
        <v>15</v>
      </c>
      <c r="D53" s="67" t="s">
        <v>268</v>
      </c>
      <c r="E53" s="67">
        <v>10</v>
      </c>
    </row>
    <row r="54" spans="2:5" x14ac:dyDescent="0.3">
      <c r="B54" s="31" t="s">
        <v>269</v>
      </c>
      <c r="C54" s="69"/>
      <c r="D54" s="67"/>
      <c r="E54" s="67"/>
    </row>
    <row r="55" spans="2:5" x14ac:dyDescent="0.3">
      <c r="B55" s="31" t="s">
        <v>270</v>
      </c>
      <c r="C55" s="69"/>
      <c r="D55" s="67"/>
      <c r="E55" s="67"/>
    </row>
    <row r="56" spans="2:5" x14ac:dyDescent="0.3">
      <c r="B56" s="29" t="s">
        <v>271</v>
      </c>
      <c r="C56" s="69">
        <v>16</v>
      </c>
      <c r="D56" s="67"/>
      <c r="E56" s="67"/>
    </row>
    <row r="57" spans="2:5" x14ac:dyDescent="0.3">
      <c r="B57" s="31" t="s">
        <v>272</v>
      </c>
      <c r="C57" s="69"/>
      <c r="D57" s="67"/>
      <c r="E57" s="67"/>
    </row>
    <row r="58" spans="2:5" ht="27" x14ac:dyDescent="0.3">
      <c r="B58" s="32" t="s">
        <v>277</v>
      </c>
      <c r="C58" s="69">
        <v>17</v>
      </c>
      <c r="D58" s="67"/>
      <c r="E58" s="67"/>
    </row>
    <row r="59" spans="2:5" x14ac:dyDescent="0.3">
      <c r="B59" s="31" t="s">
        <v>278</v>
      </c>
      <c r="C59" s="69"/>
      <c r="D59" s="67"/>
      <c r="E59" s="67"/>
    </row>
    <row r="60" spans="2:5" x14ac:dyDescent="0.3">
      <c r="B60" s="31" t="s">
        <v>279</v>
      </c>
      <c r="C60" s="69"/>
      <c r="D60" s="67"/>
      <c r="E60" s="67"/>
    </row>
    <row r="61" spans="2:5" x14ac:dyDescent="0.3">
      <c r="B61" s="29" t="s">
        <v>280</v>
      </c>
      <c r="C61" s="69">
        <v>18</v>
      </c>
      <c r="D61" s="67"/>
      <c r="E61" s="67"/>
    </row>
    <row r="62" spans="2:5" x14ac:dyDescent="0.3">
      <c r="B62" s="31" t="s">
        <v>281</v>
      </c>
      <c r="C62" s="69"/>
      <c r="D62" s="67"/>
      <c r="E62" s="67"/>
    </row>
    <row r="63" spans="2:5" x14ac:dyDescent="0.3">
      <c r="B63" s="31" t="s">
        <v>285</v>
      </c>
      <c r="C63" s="69">
        <v>19</v>
      </c>
      <c r="D63" s="67"/>
      <c r="E63" s="67"/>
    </row>
    <row r="64" spans="2:5" x14ac:dyDescent="0.3">
      <c r="B64" s="31" t="s">
        <v>286</v>
      </c>
      <c r="C64" s="69"/>
      <c r="D64" s="67"/>
      <c r="E64" s="67"/>
    </row>
    <row r="65" spans="2:5" x14ac:dyDescent="0.3">
      <c r="B65" s="29" t="s">
        <v>292</v>
      </c>
      <c r="C65" s="6">
        <v>20</v>
      </c>
      <c r="D65" s="67"/>
      <c r="E65" s="67"/>
    </row>
    <row r="66" spans="2:5" x14ac:dyDescent="0.3">
      <c r="B66" s="29" t="s">
        <v>293</v>
      </c>
      <c r="C66" s="69">
        <v>21</v>
      </c>
      <c r="D66" s="67"/>
      <c r="E66" s="67"/>
    </row>
    <row r="67" spans="2:5" x14ac:dyDescent="0.3">
      <c r="B67" s="31" t="s">
        <v>294</v>
      </c>
      <c r="C67" s="69"/>
      <c r="D67" s="67"/>
      <c r="E67" s="67"/>
    </row>
    <row r="68" spans="2:5" x14ac:dyDescent="0.3">
      <c r="B68" s="31" t="s">
        <v>295</v>
      </c>
      <c r="C68" s="69"/>
      <c r="D68" s="22" t="s">
        <v>233</v>
      </c>
      <c r="E68" s="22">
        <v>9</v>
      </c>
    </row>
    <row r="69" spans="2:5" x14ac:dyDescent="0.3">
      <c r="B69" s="29" t="s">
        <v>296</v>
      </c>
      <c r="C69" s="69">
        <v>22</v>
      </c>
      <c r="D69" s="67" t="s">
        <v>268</v>
      </c>
      <c r="E69" s="67">
        <v>10</v>
      </c>
    </row>
    <row r="70" spans="2:5" x14ac:dyDescent="0.3">
      <c r="B70" s="29" t="s">
        <v>297</v>
      </c>
      <c r="C70" s="69"/>
      <c r="D70" s="67"/>
      <c r="E70" s="67"/>
    </row>
    <row r="71" spans="2:5" x14ac:dyDescent="0.3">
      <c r="B71" s="19" t="s">
        <v>298</v>
      </c>
      <c r="C71" s="69">
        <v>23</v>
      </c>
      <c r="D71" s="67" t="s">
        <v>233</v>
      </c>
      <c r="E71" s="67">
        <v>9</v>
      </c>
    </row>
    <row r="72" spans="2:5" x14ac:dyDescent="0.3">
      <c r="B72" s="27" t="s">
        <v>299</v>
      </c>
      <c r="C72" s="69"/>
      <c r="D72" s="67"/>
      <c r="E72" s="67"/>
    </row>
    <row r="73" spans="2:5" x14ac:dyDescent="0.3">
      <c r="B73" s="29" t="s">
        <v>300</v>
      </c>
      <c r="C73" s="69"/>
      <c r="D73" s="67"/>
      <c r="E73" s="67"/>
    </row>
    <row r="74" spans="2:5" x14ac:dyDescent="0.3">
      <c r="B74" s="29" t="s">
        <v>301</v>
      </c>
      <c r="C74" s="69"/>
      <c r="D74" s="67"/>
      <c r="E74" s="67"/>
    </row>
    <row r="75" spans="2:5" x14ac:dyDescent="0.3">
      <c r="B75" s="27" t="s">
        <v>302</v>
      </c>
      <c r="C75" s="69">
        <v>24</v>
      </c>
      <c r="D75" s="67"/>
      <c r="E75" s="67"/>
    </row>
    <row r="76" spans="2:5" x14ac:dyDescent="0.3">
      <c r="B76" s="29" t="s">
        <v>303</v>
      </c>
      <c r="C76" s="69"/>
      <c r="D76" s="67"/>
      <c r="E76" s="67"/>
    </row>
    <row r="77" spans="2:5" x14ac:dyDescent="0.3">
      <c r="B77" s="29" t="s">
        <v>304</v>
      </c>
      <c r="C77" s="69"/>
      <c r="D77" s="67"/>
      <c r="E77" s="67"/>
    </row>
    <row r="78" spans="2:5" x14ac:dyDescent="0.3">
      <c r="B78" s="29" t="s">
        <v>305</v>
      </c>
      <c r="C78" s="69"/>
      <c r="D78" s="67"/>
      <c r="E78" s="67"/>
    </row>
    <row r="79" spans="2:5" x14ac:dyDescent="0.3">
      <c r="B79" s="19" t="s">
        <v>306</v>
      </c>
      <c r="C79" s="69">
        <v>25</v>
      </c>
      <c r="D79" s="67" t="s">
        <v>268</v>
      </c>
      <c r="E79" s="67">
        <v>10</v>
      </c>
    </row>
    <row r="80" spans="2:5" x14ac:dyDescent="0.3">
      <c r="B80" s="29" t="s">
        <v>307</v>
      </c>
      <c r="C80" s="69"/>
      <c r="D80" s="67"/>
      <c r="E80" s="67"/>
    </row>
    <row r="81" spans="2:5" x14ac:dyDescent="0.3">
      <c r="B81" s="29" t="s">
        <v>308</v>
      </c>
      <c r="C81" s="69"/>
      <c r="D81" s="67"/>
      <c r="E81" s="67"/>
    </row>
    <row r="82" spans="2:5" x14ac:dyDescent="0.3">
      <c r="B82" s="29" t="s">
        <v>309</v>
      </c>
      <c r="C82" s="69"/>
      <c r="D82" s="67"/>
      <c r="E82" s="67"/>
    </row>
  </sheetData>
  <mergeCells count="38">
    <mergeCell ref="D69:D70"/>
    <mergeCell ref="D71:D78"/>
    <mergeCell ref="D79:D82"/>
    <mergeCell ref="D4:D9"/>
    <mergeCell ref="D11:D12"/>
    <mergeCell ref="D16:D25"/>
    <mergeCell ref="D26:D52"/>
    <mergeCell ref="D53:D67"/>
    <mergeCell ref="C79:C82"/>
    <mergeCell ref="C46:C48"/>
    <mergeCell ref="C49:C52"/>
    <mergeCell ref="C53:C55"/>
    <mergeCell ref="C56:C57"/>
    <mergeCell ref="C58:C60"/>
    <mergeCell ref="C61:C62"/>
    <mergeCell ref="C63:C64"/>
    <mergeCell ref="C66:C68"/>
    <mergeCell ref="C69:C70"/>
    <mergeCell ref="C71:C74"/>
    <mergeCell ref="C75:C78"/>
    <mergeCell ref="C43:C45"/>
    <mergeCell ref="C4:C10"/>
    <mergeCell ref="C11:C12"/>
    <mergeCell ref="C13:C15"/>
    <mergeCell ref="C16:C22"/>
    <mergeCell ref="C23:C25"/>
    <mergeCell ref="C26:C29"/>
    <mergeCell ref="C31:C32"/>
    <mergeCell ref="C33:C37"/>
    <mergeCell ref="C39:C42"/>
    <mergeCell ref="E69:E70"/>
    <mergeCell ref="E71:E78"/>
    <mergeCell ref="E79:E82"/>
    <mergeCell ref="E4:E9"/>
    <mergeCell ref="E11:E12"/>
    <mergeCell ref="E16:E25"/>
    <mergeCell ref="E26:E52"/>
    <mergeCell ref="E53:E67"/>
  </mergeCells>
  <phoneticPr fontId="2" type="noConversion"/>
  <hyperlinks>
    <hyperlink ref="D4:D9" location="'MNE그룹 정보'!A1" display="MNE그룹 정보" xr:uid="{701724A0-08DE-425D-B801-67C84ADBD95B}"/>
    <hyperlink ref="D10" location="최종모기업!A1" display="최종모기업" xr:uid="{3739B6B8-428A-41D6-8D86-95DC9CEC055E}"/>
    <hyperlink ref="D11:D12" location="그룹구조!A1" display="그룹구조" xr:uid="{DB4A94DD-34AD-4E43-882E-DE056C9EC277}"/>
    <hyperlink ref="D13" location="제외기업!A1" display="제외기업" xr:uid="{EED910AD-D96F-48D5-94D5-20753D022DFF}"/>
    <hyperlink ref="D14" location="'그룹구조 변동'!A1" display="그룹구조 변동" xr:uid="{66377A4A-CC97-421B-9E54-27AC83040CBE}"/>
    <hyperlink ref="D15" location="요약!A1" display="요약" xr:uid="{5868BB99-FF57-42F7-95D1-DCA58C1E89A9}"/>
    <hyperlink ref="D16:D25" location="적용면제!A1" display="적용면제" xr:uid="{92A29F2A-0F49-4EB1-B545-48B014BB4936}"/>
    <hyperlink ref="D26:D52" location="'국가별 계산'!A1" display="국가별 계산" xr:uid="{E5A5EEC9-5663-42CB-8F4D-E834077B5B80}"/>
    <hyperlink ref="D53:D67" location="'구성기업 계산'!A1" display="구성기업 계산" xr:uid="{35A25065-FE89-4C4C-B5E7-6EAF34B133D8}"/>
    <hyperlink ref="D68" location="'국가별 계산'!A1" display="국가별 계산" xr:uid="{0187B717-F6F4-43E5-B1DF-9A439E4A4812}"/>
    <hyperlink ref="D69:D70" location="'구성기업 계산'!A1" display="구성기업 계산" xr:uid="{3DA0F2D8-13FC-44C7-8C14-6B824B371C0E}"/>
    <hyperlink ref="D71:D78" location="'국가별 계산'!A1" display="국가별 계산" xr:uid="{8C4FD39F-3236-4774-8BE4-415642FC8480}"/>
    <hyperlink ref="D79:D82" location="'구성기업 계산'!A1" display="구성기업 계산" xr:uid="{B7D5AD79-F758-47D6-A69C-79FFA58E1F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B2:R18"/>
  <sheetViews>
    <sheetView showGridLines="0" view="pageBreakPreview" zoomScale="85" zoomScaleNormal="85" zoomScaleSheetLayoutView="85" workbookViewId="0">
      <selection activeCell="M17" sqref="M17:R17"/>
    </sheetView>
  </sheetViews>
  <sheetFormatPr defaultColWidth="8.75" defaultRowHeight="16.5" x14ac:dyDescent="0.3"/>
  <cols>
    <col min="1" max="1" width="2" style="1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0.75" style="1" customWidth="1"/>
    <col min="11" max="11" width="11" style="1" customWidth="1"/>
    <col min="12" max="12" width="8.625" style="1" customWidth="1"/>
    <col min="13" max="13" width="9.375" style="1" customWidth="1"/>
    <col min="14" max="15" width="10.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2" spans="2:18" ht="23.45" customHeight="1" x14ac:dyDescent="0.25">
      <c r="B2" s="70" t="s">
        <v>314</v>
      </c>
      <c r="C2" s="72">
        <v>45292</v>
      </c>
      <c r="D2" s="73"/>
      <c r="E2" s="74" t="s">
        <v>315</v>
      </c>
      <c r="F2" s="75"/>
      <c r="G2" s="75"/>
      <c r="H2" s="75"/>
      <c r="I2" s="75"/>
      <c r="J2" s="75"/>
      <c r="K2" s="75"/>
      <c r="L2" s="75"/>
      <c r="M2" s="75"/>
      <c r="N2" s="79" t="s">
        <v>316</v>
      </c>
      <c r="O2" s="80"/>
      <c r="P2" s="83"/>
      <c r="Q2" s="84"/>
      <c r="R2" s="84"/>
    </row>
    <row r="3" spans="2:18" ht="4.9000000000000004" customHeight="1" x14ac:dyDescent="0.3">
      <c r="B3" s="71"/>
      <c r="C3" s="86" t="s">
        <v>317</v>
      </c>
      <c r="D3" s="87"/>
      <c r="E3" s="76"/>
      <c r="F3" s="77"/>
      <c r="G3" s="77"/>
      <c r="H3" s="77"/>
      <c r="I3" s="77"/>
      <c r="J3" s="77"/>
      <c r="K3" s="77"/>
      <c r="L3" s="77"/>
      <c r="M3" s="77"/>
      <c r="N3" s="81"/>
      <c r="O3" s="82"/>
      <c r="P3" s="81"/>
      <c r="Q3" s="85"/>
      <c r="R3" s="85"/>
    </row>
    <row r="4" spans="2:18" ht="4.9000000000000004" customHeight="1" x14ac:dyDescent="0.3">
      <c r="B4" s="71"/>
      <c r="C4" s="88"/>
      <c r="D4" s="87"/>
      <c r="E4" s="76"/>
      <c r="F4" s="77"/>
      <c r="G4" s="77"/>
      <c r="H4" s="77"/>
      <c r="I4" s="77"/>
      <c r="J4" s="77"/>
      <c r="K4" s="77"/>
      <c r="L4" s="77"/>
      <c r="M4" s="77"/>
      <c r="N4" s="79" t="s">
        <v>318</v>
      </c>
      <c r="O4" s="80"/>
      <c r="P4" s="90"/>
      <c r="Q4" s="84"/>
      <c r="R4" s="84"/>
    </row>
    <row r="5" spans="2:18" ht="27" customHeight="1" x14ac:dyDescent="0.25">
      <c r="B5" s="71"/>
      <c r="C5" s="92">
        <v>45657</v>
      </c>
      <c r="D5" s="87"/>
      <c r="E5" s="76"/>
      <c r="F5" s="78"/>
      <c r="G5" s="78"/>
      <c r="H5" s="78"/>
      <c r="I5" s="78"/>
      <c r="J5" s="78"/>
      <c r="K5" s="78"/>
      <c r="L5" s="78"/>
      <c r="M5" s="78"/>
      <c r="N5" s="89"/>
      <c r="O5" s="71"/>
      <c r="P5" s="89"/>
      <c r="Q5" s="91"/>
      <c r="R5" s="91"/>
    </row>
    <row r="6" spans="2:18" ht="25.15" customHeight="1" x14ac:dyDescent="0.25">
      <c r="B6" s="93" t="s">
        <v>203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2:18" ht="25.15" customHeight="1" x14ac:dyDescent="0.25">
      <c r="B7" s="93" t="s">
        <v>205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5"/>
      <c r="P7" s="95"/>
      <c r="Q7" s="95"/>
      <c r="R7" s="95"/>
    </row>
    <row r="8" spans="2:18" ht="36.6" customHeight="1" x14ac:dyDescent="0.25">
      <c r="B8" s="96" t="s">
        <v>319</v>
      </c>
      <c r="C8" s="97"/>
      <c r="D8" s="98" t="s">
        <v>320</v>
      </c>
      <c r="E8" s="94"/>
      <c r="F8" s="94"/>
      <c r="G8" s="97"/>
      <c r="H8" s="98" t="s">
        <v>321</v>
      </c>
      <c r="I8" s="94"/>
      <c r="J8" s="97"/>
      <c r="K8" s="98" t="s">
        <v>322</v>
      </c>
      <c r="L8" s="97"/>
      <c r="M8" s="98" t="s">
        <v>323</v>
      </c>
      <c r="N8" s="94"/>
      <c r="O8" s="99" t="s">
        <v>324</v>
      </c>
      <c r="P8" s="94"/>
      <c r="Q8" s="94"/>
      <c r="R8" s="94"/>
    </row>
    <row r="9" spans="2:18" ht="25.15" customHeight="1" x14ac:dyDescent="0.25">
      <c r="B9" s="96" t="s">
        <v>325</v>
      </c>
      <c r="C9" s="97"/>
      <c r="D9" s="106"/>
      <c r="E9" s="94"/>
      <c r="F9" s="94"/>
      <c r="G9" s="97"/>
      <c r="H9" s="107"/>
      <c r="I9" s="108"/>
      <c r="J9" s="109"/>
      <c r="K9" s="106" t="s">
        <v>810</v>
      </c>
      <c r="L9" s="97"/>
      <c r="M9" s="106" t="s">
        <v>811</v>
      </c>
      <c r="N9" s="97"/>
      <c r="O9" s="99"/>
      <c r="P9" s="94"/>
      <c r="Q9" s="94"/>
      <c r="R9" s="94"/>
    </row>
    <row r="10" spans="2:18" x14ac:dyDescent="0.25">
      <c r="B10" s="100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</row>
    <row r="11" spans="2:18" ht="25.15" customHeight="1" x14ac:dyDescent="0.25">
      <c r="B11" s="93" t="s">
        <v>206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2" spans="2:18" ht="25.15" customHeight="1" x14ac:dyDescent="0.25">
      <c r="B12" s="93" t="s">
        <v>207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5"/>
      <c r="P12" s="95"/>
      <c r="Q12" s="95"/>
      <c r="R12" s="95"/>
    </row>
    <row r="13" spans="2:18" ht="25.15" customHeight="1" x14ac:dyDescent="0.25">
      <c r="B13" s="102" t="s">
        <v>326</v>
      </c>
      <c r="C13" s="103"/>
      <c r="D13" s="103"/>
      <c r="E13" s="104"/>
      <c r="F13" s="105" t="s">
        <v>327</v>
      </c>
      <c r="G13" s="103"/>
      <c r="H13" s="103"/>
      <c r="I13" s="103"/>
      <c r="J13" s="104"/>
      <c r="K13" s="105" t="s">
        <v>328</v>
      </c>
      <c r="L13" s="103"/>
      <c r="M13" s="103"/>
      <c r="N13" s="103"/>
      <c r="O13" s="99" t="s">
        <v>329</v>
      </c>
      <c r="P13" s="94"/>
      <c r="Q13" s="94"/>
      <c r="R13" s="94"/>
    </row>
    <row r="14" spans="2:18" ht="25.15" customHeight="1" x14ac:dyDescent="0.25">
      <c r="B14" s="110"/>
      <c r="C14" s="111"/>
      <c r="D14" s="111"/>
      <c r="E14" s="73"/>
      <c r="F14" s="72">
        <v>45292</v>
      </c>
      <c r="G14" s="111"/>
      <c r="H14" s="111"/>
      <c r="I14" s="111"/>
      <c r="J14" s="73"/>
      <c r="K14" s="72">
        <v>45657</v>
      </c>
      <c r="L14" s="111"/>
      <c r="M14" s="111"/>
      <c r="N14" s="111"/>
      <c r="O14" s="112" t="s">
        <v>330</v>
      </c>
      <c r="P14" s="95"/>
      <c r="Q14" s="95"/>
      <c r="R14" s="95"/>
    </row>
    <row r="15" spans="2:18" ht="25.15" customHeight="1" x14ac:dyDescent="0.25">
      <c r="B15" s="93" t="s">
        <v>208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</row>
    <row r="16" spans="2:18" ht="25.15" customHeight="1" x14ac:dyDescent="0.25">
      <c r="B16" s="102" t="s">
        <v>331</v>
      </c>
      <c r="C16" s="103"/>
      <c r="D16" s="103"/>
      <c r="E16" s="103"/>
      <c r="F16" s="103"/>
      <c r="G16" s="104"/>
      <c r="H16" s="105" t="s">
        <v>332</v>
      </c>
      <c r="I16" s="103"/>
      <c r="J16" s="103"/>
      <c r="K16" s="103"/>
      <c r="L16" s="103"/>
      <c r="M16" s="113" t="s">
        <v>333</v>
      </c>
      <c r="N16" s="114"/>
      <c r="O16" s="114"/>
      <c r="P16" s="114"/>
      <c r="Q16" s="114"/>
      <c r="R16" s="114"/>
    </row>
    <row r="17" spans="2:18" ht="25.15" customHeight="1" x14ac:dyDescent="0.25">
      <c r="B17" s="115" t="s">
        <v>812</v>
      </c>
      <c r="C17" s="116"/>
      <c r="D17" s="116"/>
      <c r="E17" s="116"/>
      <c r="F17" s="116"/>
      <c r="G17" s="117"/>
      <c r="H17" s="118" t="s">
        <v>813</v>
      </c>
      <c r="I17" s="116"/>
      <c r="J17" s="116"/>
      <c r="K17" s="116"/>
      <c r="L17" s="116"/>
      <c r="M17" s="99" t="s">
        <v>814</v>
      </c>
      <c r="N17" s="94"/>
      <c r="O17" s="94"/>
      <c r="P17" s="94"/>
      <c r="Q17" s="94"/>
      <c r="R17" s="94"/>
    </row>
    <row r="18" spans="2:18" ht="19.899999999999999" customHeight="1" x14ac:dyDescent="0.3"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</row>
  </sheetData>
  <mergeCells count="41">
    <mergeCell ref="B16:G16"/>
    <mergeCell ref="H16:L16"/>
    <mergeCell ref="M16:R16"/>
    <mergeCell ref="B17:G17"/>
    <mergeCell ref="H17:L17"/>
    <mergeCell ref="M17:R17"/>
    <mergeCell ref="B14:E14"/>
    <mergeCell ref="F14:J14"/>
    <mergeCell ref="K14:N14"/>
    <mergeCell ref="O14:R14"/>
    <mergeCell ref="B15:R15"/>
    <mergeCell ref="O9:R9"/>
    <mergeCell ref="B10:R10"/>
    <mergeCell ref="B11:R11"/>
    <mergeCell ref="B12:R12"/>
    <mergeCell ref="B13:E13"/>
    <mergeCell ref="F13:J13"/>
    <mergeCell ref="K13:N13"/>
    <mergeCell ref="O13:R13"/>
    <mergeCell ref="B9:C9"/>
    <mergeCell ref="D9:G9"/>
    <mergeCell ref="H9:J9"/>
    <mergeCell ref="K9:L9"/>
    <mergeCell ref="M9:N9"/>
    <mergeCell ref="B6:R6"/>
    <mergeCell ref="B7:R7"/>
    <mergeCell ref="B8:C8"/>
    <mergeCell ref="D8:G8"/>
    <mergeCell ref="H8:J8"/>
    <mergeCell ref="K8:L8"/>
    <mergeCell ref="M8:N8"/>
    <mergeCell ref="O8:R8"/>
    <mergeCell ref="B2:B5"/>
    <mergeCell ref="C2:D2"/>
    <mergeCell ref="E2:M5"/>
    <mergeCell ref="N2:O3"/>
    <mergeCell ref="P2:R3"/>
    <mergeCell ref="C3:D4"/>
    <mergeCell ref="N4:O5"/>
    <mergeCell ref="P4:R5"/>
    <mergeCell ref="C5:D5"/>
  </mergeCells>
  <phoneticPr fontId="2" type="noConversion"/>
  <dataValidations count="1">
    <dataValidation type="list" allowBlank="1" showInputMessage="1" showErrorMessage="1" sqref="B9:C9 O14:R14" xr:uid="{00000000-0002-0000-0100-000000000000}">
      <formula1>"여,부"</formula1>
    </dataValidation>
  </dataValidations>
  <pageMargins left="0.25" right="0.25" top="0.75" bottom="0.75" header="0.3" footer="0.3"/>
  <pageSetup paperSize="9" scale="8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2:R14"/>
  <sheetViews>
    <sheetView showGridLines="0" zoomScale="85" zoomScaleNormal="85" zoomScaleSheetLayoutView="85" workbookViewId="0"/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2" spans="1:18" ht="25.15" customHeight="1" x14ac:dyDescent="0.3">
      <c r="A2" s="26">
        <f>MAX($A$1:A1)+1</f>
        <v>1</v>
      </c>
      <c r="B2" s="119" t="s">
        <v>209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spans="1:18" ht="25.15" customHeight="1" x14ac:dyDescent="0.3">
      <c r="B3" s="119" t="s">
        <v>210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</row>
    <row r="4" spans="1:18" ht="25.15" customHeight="1" x14ac:dyDescent="0.25">
      <c r="B4" s="120" t="s">
        <v>334</v>
      </c>
      <c r="C4" s="111"/>
      <c r="D4" s="111"/>
      <c r="E4" s="111"/>
      <c r="F4" s="111"/>
      <c r="G4" s="111"/>
      <c r="H4" s="111"/>
      <c r="I4" s="121"/>
      <c r="J4" s="122" t="s">
        <v>793</v>
      </c>
      <c r="K4" s="111"/>
      <c r="L4" s="111"/>
      <c r="M4" s="111"/>
      <c r="N4" s="111"/>
      <c r="O4" s="111"/>
      <c r="P4" s="111"/>
      <c r="Q4" s="111"/>
      <c r="R4" s="111"/>
    </row>
    <row r="5" spans="1:18" ht="25.15" customHeight="1" x14ac:dyDescent="0.25">
      <c r="B5" s="120" t="s">
        <v>335</v>
      </c>
      <c r="C5" s="111"/>
      <c r="D5" s="111"/>
      <c r="E5" s="111"/>
      <c r="F5" s="111"/>
      <c r="G5" s="111"/>
      <c r="H5" s="111"/>
      <c r="I5" s="121"/>
      <c r="J5" s="122" t="s">
        <v>794</v>
      </c>
      <c r="K5" s="111"/>
      <c r="L5" s="111"/>
      <c r="M5" s="111"/>
      <c r="N5" s="111"/>
      <c r="O5" s="111"/>
      <c r="P5" s="111"/>
      <c r="Q5" s="111"/>
      <c r="R5" s="111"/>
    </row>
    <row r="6" spans="1:18" ht="25.15" customHeight="1" x14ac:dyDescent="0.25">
      <c r="B6" s="120" t="s">
        <v>336</v>
      </c>
      <c r="C6" s="111"/>
      <c r="D6" s="111"/>
      <c r="E6" s="111"/>
      <c r="F6" s="111"/>
      <c r="G6" s="111"/>
      <c r="H6" s="111"/>
      <c r="I6" s="121"/>
      <c r="J6" s="122">
        <f>'MNE그룹 정보'!D9</f>
        <v>0</v>
      </c>
      <c r="K6" s="111"/>
      <c r="L6" s="111"/>
      <c r="M6" s="111"/>
      <c r="N6" s="111"/>
      <c r="O6" s="111"/>
      <c r="P6" s="111"/>
      <c r="Q6" s="111"/>
      <c r="R6" s="111"/>
    </row>
    <row r="7" spans="1:18" ht="25.15" customHeight="1" x14ac:dyDescent="0.25">
      <c r="B7" s="120" t="s">
        <v>337</v>
      </c>
      <c r="C7" s="111"/>
      <c r="D7" s="111"/>
      <c r="E7" s="111"/>
      <c r="F7" s="111"/>
      <c r="G7" s="111"/>
      <c r="H7" s="111"/>
      <c r="I7" s="121"/>
      <c r="J7" s="123">
        <f>'MNE그룹 정보'!H9</f>
        <v>0</v>
      </c>
      <c r="K7" s="124"/>
      <c r="L7" s="124"/>
      <c r="M7" s="124"/>
      <c r="N7" s="124"/>
      <c r="O7" s="124"/>
      <c r="P7" s="124"/>
      <c r="Q7" s="124"/>
      <c r="R7" s="124"/>
    </row>
    <row r="8" spans="1:18" ht="34.9" customHeight="1" x14ac:dyDescent="0.25">
      <c r="B8" s="120" t="s">
        <v>338</v>
      </c>
      <c r="C8" s="111"/>
      <c r="D8" s="111"/>
      <c r="E8" s="111"/>
      <c r="F8" s="111"/>
      <c r="G8" s="111"/>
      <c r="H8" s="111"/>
      <c r="I8" s="121"/>
      <c r="J8" s="264"/>
      <c r="K8" s="265"/>
      <c r="L8" s="265"/>
      <c r="M8" s="265"/>
      <c r="N8" s="265"/>
      <c r="O8" s="265"/>
      <c r="P8" s="265"/>
      <c r="Q8" s="265"/>
      <c r="R8" s="265"/>
    </row>
    <row r="9" spans="1:18" ht="25.15" customHeight="1" x14ac:dyDescent="0.25">
      <c r="B9" s="120" t="s">
        <v>339</v>
      </c>
      <c r="C9" s="111"/>
      <c r="D9" s="111"/>
      <c r="E9" s="111"/>
      <c r="F9" s="111"/>
      <c r="G9" s="111"/>
      <c r="H9" s="111"/>
      <c r="I9" s="121"/>
      <c r="J9" s="122" t="s">
        <v>795</v>
      </c>
      <c r="K9" s="111"/>
      <c r="L9" s="111"/>
      <c r="M9" s="111"/>
      <c r="N9" s="111"/>
      <c r="O9" s="111"/>
      <c r="P9" s="111"/>
      <c r="Q9" s="111"/>
      <c r="R9" s="111"/>
    </row>
    <row r="10" spans="1:18" ht="25.15" customHeight="1" x14ac:dyDescent="0.25">
      <c r="B10" s="120" t="s">
        <v>340</v>
      </c>
      <c r="C10" s="111"/>
      <c r="D10" s="111"/>
      <c r="E10" s="111"/>
      <c r="F10" s="111"/>
      <c r="G10" s="111"/>
      <c r="H10" s="111"/>
      <c r="I10" s="121"/>
      <c r="J10" s="122"/>
      <c r="K10" s="111"/>
      <c r="L10" s="111"/>
      <c r="M10" s="111"/>
      <c r="N10" s="111"/>
      <c r="O10" s="111"/>
      <c r="P10" s="111"/>
      <c r="Q10" s="111"/>
      <c r="R10" s="111"/>
    </row>
    <row r="11" spans="1:18" ht="25.15" customHeight="1" x14ac:dyDescent="0.25">
      <c r="B11" s="125" t="s">
        <v>341</v>
      </c>
      <c r="C11" s="126"/>
      <c r="D11" s="126"/>
      <c r="E11" s="126"/>
      <c r="F11" s="126"/>
      <c r="G11" s="126"/>
      <c r="H11" s="126"/>
      <c r="I11" s="127"/>
      <c r="J11" s="128"/>
      <c r="K11" s="126"/>
      <c r="L11" s="126"/>
      <c r="M11" s="126"/>
      <c r="N11" s="126"/>
      <c r="O11" s="126"/>
      <c r="P11" s="126"/>
      <c r="Q11" s="126"/>
      <c r="R11" s="126"/>
    </row>
    <row r="12" spans="1:18" ht="19.899999999999999" customHeight="1" x14ac:dyDescent="0.3"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</row>
    <row r="14" spans="1:18" x14ac:dyDescent="0.3">
      <c r="F14" s="7"/>
      <c r="K14" s="7"/>
    </row>
  </sheetData>
  <mergeCells count="18">
    <mergeCell ref="B9:I9"/>
    <mergeCell ref="J9:R9"/>
    <mergeCell ref="B10:I10"/>
    <mergeCell ref="J10:R10"/>
    <mergeCell ref="B11:I11"/>
    <mergeCell ref="J11:R11"/>
    <mergeCell ref="B6:I6"/>
    <mergeCell ref="J6:R6"/>
    <mergeCell ref="B7:I7"/>
    <mergeCell ref="J7:R7"/>
    <mergeCell ref="B8:I8"/>
    <mergeCell ref="J8:R8"/>
    <mergeCell ref="B2:R2"/>
    <mergeCell ref="B3:R3"/>
    <mergeCell ref="B4:I4"/>
    <mergeCell ref="J4:R4"/>
    <mergeCell ref="B5:I5"/>
    <mergeCell ref="J5:R5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2:R20"/>
  <sheetViews>
    <sheetView showGridLines="0" zoomScale="85" zoomScaleNormal="85" zoomScaleSheetLayoutView="85" workbookViewId="0">
      <selection activeCell="O20" sqref="O20:R20"/>
    </sheetView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2" spans="1:18" ht="25.15" customHeight="1" x14ac:dyDescent="0.25">
      <c r="A2" s="26">
        <f>MAX($A$1:A1)+1</f>
        <v>1</v>
      </c>
      <c r="B2" s="129" t="s">
        <v>212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 ht="25.15" customHeight="1" x14ac:dyDescent="0.25">
      <c r="B3" s="129" t="s">
        <v>214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ht="25.15" customHeight="1" x14ac:dyDescent="0.25">
      <c r="B4" s="130" t="s">
        <v>342</v>
      </c>
      <c r="C4" s="95"/>
      <c r="D4" s="131" t="s">
        <v>343</v>
      </c>
      <c r="E4" s="94"/>
      <c r="F4" s="94"/>
      <c r="G4" s="94"/>
      <c r="H4" s="94"/>
      <c r="I4" s="94"/>
      <c r="J4" s="94"/>
      <c r="K4" s="94"/>
      <c r="L4" s="94"/>
      <c r="M4" s="94"/>
      <c r="N4" s="97"/>
      <c r="O4" s="132" t="s">
        <v>330</v>
      </c>
      <c r="P4" s="95"/>
      <c r="Q4" s="95"/>
      <c r="R4" s="95"/>
    </row>
    <row r="5" spans="1:18" ht="25.15" customHeight="1" x14ac:dyDescent="0.25">
      <c r="B5" s="130" t="s">
        <v>344</v>
      </c>
      <c r="C5" s="133"/>
      <c r="D5" s="135" t="s">
        <v>345</v>
      </c>
      <c r="E5" s="94"/>
      <c r="F5" s="94"/>
      <c r="G5" s="94"/>
      <c r="H5" s="94"/>
      <c r="I5" s="94"/>
      <c r="J5" s="94"/>
      <c r="K5" s="94"/>
      <c r="L5" s="94"/>
      <c r="M5" s="94"/>
      <c r="N5" s="97"/>
      <c r="O5" s="132"/>
      <c r="P5" s="95"/>
      <c r="Q5" s="95"/>
      <c r="R5" s="95"/>
    </row>
    <row r="6" spans="1:18" ht="25.15" customHeight="1" x14ac:dyDescent="0.25">
      <c r="B6" s="114"/>
      <c r="C6" s="134"/>
      <c r="D6" s="135" t="s">
        <v>346</v>
      </c>
      <c r="E6" s="94"/>
      <c r="F6" s="94"/>
      <c r="G6" s="94"/>
      <c r="H6" s="94"/>
      <c r="I6" s="94"/>
      <c r="J6" s="94"/>
      <c r="K6" s="94"/>
      <c r="L6" s="94"/>
      <c r="M6" s="94"/>
      <c r="N6" s="97"/>
      <c r="O6" s="132"/>
      <c r="P6" s="95"/>
      <c r="Q6" s="95"/>
      <c r="R6" s="95"/>
    </row>
    <row r="7" spans="1:18" ht="25.15" customHeight="1" x14ac:dyDescent="0.25">
      <c r="B7" s="130" t="s">
        <v>347</v>
      </c>
      <c r="C7" s="133"/>
      <c r="D7" s="135" t="s">
        <v>348</v>
      </c>
      <c r="E7" s="94"/>
      <c r="F7" s="94"/>
      <c r="G7" s="94"/>
      <c r="H7" s="94"/>
      <c r="I7" s="94"/>
      <c r="J7" s="94"/>
      <c r="K7" s="94"/>
      <c r="L7" s="94"/>
      <c r="M7" s="94"/>
      <c r="N7" s="97"/>
      <c r="O7" s="132"/>
      <c r="P7" s="95"/>
      <c r="Q7" s="95"/>
      <c r="R7" s="95"/>
    </row>
    <row r="8" spans="1:18" ht="25.15" customHeight="1" x14ac:dyDescent="0.25">
      <c r="B8" s="136"/>
      <c r="C8" s="137"/>
      <c r="D8" s="135" t="s">
        <v>349</v>
      </c>
      <c r="E8" s="94"/>
      <c r="F8" s="94"/>
      <c r="G8" s="94"/>
      <c r="H8" s="94"/>
      <c r="I8" s="94"/>
      <c r="J8" s="94"/>
      <c r="K8" s="94"/>
      <c r="L8" s="94"/>
      <c r="M8" s="94"/>
      <c r="N8" s="97"/>
      <c r="O8" s="138"/>
      <c r="P8" s="139"/>
      <c r="Q8" s="139"/>
      <c r="R8" s="139"/>
    </row>
    <row r="9" spans="1:18" ht="25.15" customHeight="1" x14ac:dyDescent="0.25">
      <c r="B9" s="136"/>
      <c r="C9" s="137"/>
      <c r="D9" s="135" t="s">
        <v>350</v>
      </c>
      <c r="E9" s="94"/>
      <c r="F9" s="94"/>
      <c r="G9" s="94"/>
      <c r="H9" s="94"/>
      <c r="I9" s="94"/>
      <c r="J9" s="94"/>
      <c r="K9" s="94"/>
      <c r="L9" s="94"/>
      <c r="M9" s="94"/>
      <c r="N9" s="97"/>
      <c r="O9" s="266"/>
      <c r="P9" s="267"/>
      <c r="Q9" s="267"/>
      <c r="R9" s="267"/>
    </row>
    <row r="10" spans="1:18" ht="25.15" customHeight="1" x14ac:dyDescent="0.25">
      <c r="B10" s="114"/>
      <c r="C10" s="134"/>
      <c r="D10" s="135" t="s">
        <v>351</v>
      </c>
      <c r="E10" s="94"/>
      <c r="F10" s="94"/>
      <c r="G10" s="94"/>
      <c r="H10" s="94"/>
      <c r="I10" s="94"/>
      <c r="J10" s="94"/>
      <c r="K10" s="94"/>
      <c r="L10" s="94"/>
      <c r="M10" s="94"/>
      <c r="N10" s="97"/>
      <c r="O10" s="132"/>
      <c r="P10" s="95"/>
      <c r="Q10" s="95"/>
      <c r="R10" s="95"/>
    </row>
    <row r="11" spans="1:18" ht="25.15" customHeight="1" x14ac:dyDescent="0.25">
      <c r="B11" s="130" t="s">
        <v>352</v>
      </c>
      <c r="C11" s="133"/>
      <c r="D11" s="135" t="s">
        <v>353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112"/>
      <c r="P11" s="132"/>
      <c r="Q11" s="132"/>
      <c r="R11" s="132"/>
    </row>
    <row r="12" spans="1:18" ht="25.15" customHeight="1" x14ac:dyDescent="0.25">
      <c r="B12" s="136"/>
      <c r="C12" s="137"/>
      <c r="D12" s="135" t="s">
        <v>354</v>
      </c>
      <c r="E12" s="143"/>
      <c r="F12" s="143"/>
      <c r="G12" s="143"/>
      <c r="H12" s="143"/>
      <c r="I12" s="143"/>
      <c r="J12" s="143"/>
      <c r="K12" s="143"/>
      <c r="L12" s="143"/>
      <c r="M12" s="143"/>
      <c r="N12" s="94"/>
      <c r="O12" s="140"/>
      <c r="P12" s="141"/>
      <c r="Q12" s="141"/>
      <c r="R12" s="141"/>
    </row>
    <row r="13" spans="1:18" ht="25.15" customHeight="1" x14ac:dyDescent="0.25">
      <c r="B13" s="136"/>
      <c r="C13" s="137"/>
      <c r="D13" s="135" t="s">
        <v>355</v>
      </c>
      <c r="E13" s="143"/>
      <c r="F13" s="143"/>
      <c r="G13" s="143"/>
      <c r="H13" s="143"/>
      <c r="I13" s="143"/>
      <c r="J13" s="143"/>
      <c r="K13" s="143"/>
      <c r="L13" s="143"/>
      <c r="M13" s="143"/>
      <c r="N13" s="94"/>
      <c r="O13" s="140"/>
      <c r="P13" s="141"/>
      <c r="Q13" s="141"/>
      <c r="R13" s="141"/>
    </row>
    <row r="14" spans="1:18" ht="25.15" customHeight="1" x14ac:dyDescent="0.25">
      <c r="B14" s="114"/>
      <c r="C14" s="134"/>
      <c r="D14" s="135" t="s">
        <v>356</v>
      </c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113"/>
      <c r="P14" s="142"/>
      <c r="Q14" s="142"/>
      <c r="R14" s="142"/>
    </row>
    <row r="15" spans="1:18" ht="25.15" customHeight="1" x14ac:dyDescent="0.25">
      <c r="B15" s="130" t="s">
        <v>357</v>
      </c>
      <c r="C15" s="133"/>
      <c r="D15" s="130" t="s">
        <v>358</v>
      </c>
      <c r="E15" s="95"/>
      <c r="F15" s="95"/>
      <c r="G15" s="95"/>
      <c r="H15" s="95"/>
      <c r="I15" s="95"/>
      <c r="J15" s="95"/>
      <c r="K15" s="95"/>
      <c r="L15" s="95"/>
      <c r="M15" s="95"/>
      <c r="N15" s="133"/>
      <c r="O15" s="141"/>
      <c r="P15" s="101"/>
      <c r="Q15" s="101"/>
      <c r="R15" s="101"/>
    </row>
    <row r="16" spans="1:18" ht="45" customHeight="1" x14ac:dyDescent="0.25">
      <c r="B16" s="136"/>
      <c r="C16" s="137"/>
      <c r="D16" s="130" t="s">
        <v>359</v>
      </c>
      <c r="E16" s="95"/>
      <c r="F16" s="95"/>
      <c r="G16" s="95"/>
      <c r="H16" s="95"/>
      <c r="I16" s="95"/>
      <c r="J16" s="95"/>
      <c r="K16" s="95"/>
      <c r="L16" s="95"/>
      <c r="M16" s="95"/>
      <c r="N16" s="133"/>
      <c r="O16" s="144"/>
      <c r="P16" s="139"/>
      <c r="Q16" s="139"/>
      <c r="R16" s="139"/>
    </row>
    <row r="17" spans="2:18" ht="45" customHeight="1" x14ac:dyDescent="0.25">
      <c r="B17" s="114"/>
      <c r="C17" s="134"/>
      <c r="D17" s="145" t="s">
        <v>360</v>
      </c>
      <c r="E17" s="94"/>
      <c r="F17" s="94"/>
      <c r="G17" s="94"/>
      <c r="H17" s="94"/>
      <c r="I17" s="94"/>
      <c r="J17" s="94"/>
      <c r="K17" s="94"/>
      <c r="L17" s="94"/>
      <c r="M17" s="94"/>
      <c r="N17" s="97"/>
      <c r="O17" s="144"/>
      <c r="P17" s="139"/>
      <c r="Q17" s="139"/>
      <c r="R17" s="139"/>
    </row>
    <row r="18" spans="2:18" ht="25.15" customHeight="1" x14ac:dyDescent="0.25">
      <c r="B18" s="130" t="s">
        <v>361</v>
      </c>
      <c r="C18" s="133"/>
      <c r="D18" s="146" t="s">
        <v>362</v>
      </c>
      <c r="E18" s="95"/>
      <c r="F18" s="95"/>
      <c r="G18" s="95"/>
      <c r="H18" s="95"/>
      <c r="I18" s="95"/>
      <c r="J18" s="95"/>
      <c r="K18" s="95"/>
      <c r="L18" s="95"/>
      <c r="M18" s="95"/>
      <c r="N18" s="133"/>
      <c r="O18" s="112" t="s">
        <v>330</v>
      </c>
      <c r="P18" s="95"/>
      <c r="Q18" s="95"/>
      <c r="R18" s="95"/>
    </row>
    <row r="19" spans="2:18" ht="60" customHeight="1" x14ac:dyDescent="0.25">
      <c r="B19" s="136"/>
      <c r="C19" s="137"/>
      <c r="D19" s="146" t="s">
        <v>363</v>
      </c>
      <c r="E19" s="95"/>
      <c r="F19" s="95"/>
      <c r="G19" s="95"/>
      <c r="H19" s="95"/>
      <c r="I19" s="95"/>
      <c r="J19" s="95"/>
      <c r="K19" s="95"/>
      <c r="L19" s="95"/>
      <c r="M19" s="95"/>
      <c r="N19" s="133"/>
      <c r="O19" s="147"/>
      <c r="P19" s="148"/>
      <c r="Q19" s="148"/>
      <c r="R19" s="148"/>
    </row>
    <row r="20" spans="2:18" ht="45" customHeight="1" x14ac:dyDescent="0.25">
      <c r="B20" s="114"/>
      <c r="C20" s="134"/>
      <c r="D20" s="149" t="s">
        <v>364</v>
      </c>
      <c r="E20" s="94"/>
      <c r="F20" s="94"/>
      <c r="G20" s="94"/>
      <c r="H20" s="94"/>
      <c r="I20" s="94"/>
      <c r="J20" s="94"/>
      <c r="K20" s="94"/>
      <c r="L20" s="94"/>
      <c r="M20" s="94"/>
      <c r="N20" s="97"/>
      <c r="O20" s="99"/>
      <c r="P20" s="94"/>
      <c r="Q20" s="94"/>
      <c r="R20" s="94"/>
    </row>
  </sheetData>
  <mergeCells count="39">
    <mergeCell ref="B18:C20"/>
    <mergeCell ref="D18:N18"/>
    <mergeCell ref="O18:R18"/>
    <mergeCell ref="D19:N19"/>
    <mergeCell ref="O19:R19"/>
    <mergeCell ref="D20:N20"/>
    <mergeCell ref="O20:R20"/>
    <mergeCell ref="B15:C17"/>
    <mergeCell ref="D15:N15"/>
    <mergeCell ref="O15:R15"/>
    <mergeCell ref="D16:N16"/>
    <mergeCell ref="O16:R16"/>
    <mergeCell ref="D17:N17"/>
    <mergeCell ref="O17:R17"/>
    <mergeCell ref="B11:C14"/>
    <mergeCell ref="D11:N11"/>
    <mergeCell ref="O11:R14"/>
    <mergeCell ref="D12:N12"/>
    <mergeCell ref="D13:N13"/>
    <mergeCell ref="D14:N14"/>
    <mergeCell ref="B7:C10"/>
    <mergeCell ref="D7:N7"/>
    <mergeCell ref="O7:R7"/>
    <mergeCell ref="D8:N8"/>
    <mergeCell ref="O8:R8"/>
    <mergeCell ref="D9:N9"/>
    <mergeCell ref="O9:R9"/>
    <mergeCell ref="D10:N10"/>
    <mergeCell ref="O10:R10"/>
    <mergeCell ref="B5:C6"/>
    <mergeCell ref="D5:N5"/>
    <mergeCell ref="O5:R5"/>
    <mergeCell ref="D6:N6"/>
    <mergeCell ref="O6:R6"/>
    <mergeCell ref="B2:R2"/>
    <mergeCell ref="B3:R3"/>
    <mergeCell ref="B4:C4"/>
    <mergeCell ref="D4:N4"/>
    <mergeCell ref="O4:R4"/>
  </mergeCells>
  <phoneticPr fontId="2" type="noConversion"/>
  <dataValidations count="1">
    <dataValidation type="list" allowBlank="1" showInputMessage="1" showErrorMessage="1" sqref="O4:R4 O18:R18 O20:R20" xr:uid="{00000000-0002-0000-03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2:R15"/>
  <sheetViews>
    <sheetView showGridLines="0" zoomScale="85" zoomScaleNormal="85" zoomScaleSheetLayoutView="85" workbookViewId="0"/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2" spans="1:18" ht="27" customHeight="1" x14ac:dyDescent="0.25">
      <c r="A2" s="26">
        <f>MAX($A$1:A1)+1</f>
        <v>1</v>
      </c>
      <c r="B2" s="93" t="s">
        <v>215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5"/>
      <c r="P2" s="95"/>
      <c r="Q2" s="95"/>
      <c r="R2" s="95"/>
    </row>
    <row r="3" spans="1:18" ht="27" customHeight="1" x14ac:dyDescent="0.25">
      <c r="B3" s="151" t="s">
        <v>365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2" t="s">
        <v>330</v>
      </c>
      <c r="P3" s="95"/>
      <c r="Q3" s="95"/>
      <c r="R3" s="95"/>
    </row>
    <row r="4" spans="1:18" ht="27" customHeight="1" x14ac:dyDescent="0.25">
      <c r="B4" s="150" t="s">
        <v>366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9"/>
      <c r="P4" s="94"/>
      <c r="Q4" s="94"/>
      <c r="R4" s="94"/>
    </row>
    <row r="5" spans="1:18" ht="27" customHeight="1" x14ac:dyDescent="0.25">
      <c r="B5" s="150" t="s">
        <v>367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113"/>
      <c r="P5" s="114"/>
      <c r="Q5" s="114"/>
      <c r="R5" s="114"/>
    </row>
    <row r="6" spans="1:18" x14ac:dyDescent="0.3">
      <c r="C6" s="7"/>
    </row>
    <row r="15" spans="1:18" x14ac:dyDescent="0.3">
      <c r="F15" s="7"/>
      <c r="K15" s="7"/>
    </row>
  </sheetData>
  <mergeCells count="7">
    <mergeCell ref="B5:N5"/>
    <mergeCell ref="O5:R5"/>
    <mergeCell ref="B2:R2"/>
    <mergeCell ref="B3:N3"/>
    <mergeCell ref="O3:R3"/>
    <mergeCell ref="B4:N4"/>
    <mergeCell ref="O4:R4"/>
  </mergeCells>
  <phoneticPr fontId="2" type="noConversion"/>
  <dataValidations count="1">
    <dataValidation type="list" allowBlank="1" showInputMessage="1" showErrorMessage="1" sqref="O3:R3" xr:uid="{00000000-0002-0000-05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2:R15"/>
  <sheetViews>
    <sheetView showGridLines="0" zoomScale="85" zoomScaleNormal="85" zoomScaleSheetLayoutView="85" workbookViewId="0"/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1" style="1" customWidth="1"/>
    <col min="11" max="11" width="8.625" style="1" customWidth="1"/>
    <col min="12" max="12" width="9.375" style="1" customWidth="1"/>
    <col min="13" max="13" width="10.25" style="1" customWidth="1"/>
    <col min="14" max="14" width="5.875" style="1" customWidth="1"/>
    <col min="15" max="15" width="8.75" style="1" customWidth="1"/>
    <col min="16" max="16384" width="8.75" style="1"/>
  </cols>
  <sheetData>
    <row r="2" spans="1:18" ht="27" customHeight="1" x14ac:dyDescent="0.3">
      <c r="B2" s="152" t="s">
        <v>368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</row>
    <row r="3" spans="1:18" ht="27" customHeight="1" x14ac:dyDescent="0.3">
      <c r="B3" s="41" t="s">
        <v>369</v>
      </c>
      <c r="C3" s="153" t="s">
        <v>796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4"/>
      <c r="R3" s="154"/>
    </row>
    <row r="4" spans="1:18" ht="4.9000000000000004" customHeight="1" x14ac:dyDescent="0.3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18" ht="100.15" customHeight="1" x14ac:dyDescent="0.25">
      <c r="A5" s="64" t="s">
        <v>826</v>
      </c>
      <c r="B5" s="155" t="s">
        <v>797</v>
      </c>
      <c r="C5" s="97"/>
      <c r="D5" s="156" t="s">
        <v>370</v>
      </c>
      <c r="E5" s="97"/>
      <c r="F5" s="157" t="s">
        <v>371</v>
      </c>
      <c r="G5" s="97"/>
      <c r="H5" s="157" t="s">
        <v>372</v>
      </c>
      <c r="I5" s="97"/>
      <c r="J5" s="158" t="s">
        <v>373</v>
      </c>
      <c r="K5" s="159"/>
      <c r="L5" s="155"/>
      <c r="M5" s="158" t="s">
        <v>374</v>
      </c>
      <c r="N5" s="159"/>
      <c r="O5" s="155"/>
      <c r="P5" s="158" t="s">
        <v>798</v>
      </c>
      <c r="Q5" s="159"/>
      <c r="R5" s="159"/>
    </row>
    <row r="6" spans="1:18" ht="27" customHeight="1" x14ac:dyDescent="0.25">
      <c r="B6" s="162"/>
      <c r="C6" s="163"/>
      <c r="D6" s="164"/>
      <c r="E6" s="165"/>
      <c r="F6" s="166"/>
      <c r="G6" s="167"/>
      <c r="H6" s="157"/>
      <c r="I6" s="167"/>
      <c r="J6" s="164"/>
      <c r="K6" s="164"/>
      <c r="L6" s="164"/>
      <c r="M6" s="160"/>
      <c r="N6" s="160"/>
      <c r="O6" s="160"/>
      <c r="P6" s="156"/>
      <c r="Q6" s="156"/>
      <c r="R6" s="161"/>
    </row>
    <row r="7" spans="1:18" ht="27" customHeight="1" x14ac:dyDescent="0.25">
      <c r="B7" s="162"/>
      <c r="C7" s="163"/>
      <c r="D7" s="164"/>
      <c r="E7" s="165"/>
      <c r="F7" s="166"/>
      <c r="G7" s="167"/>
      <c r="H7" s="157"/>
      <c r="I7" s="167"/>
      <c r="J7" s="164"/>
      <c r="K7" s="164"/>
      <c r="L7" s="164"/>
      <c r="M7" s="160"/>
      <c r="N7" s="160"/>
      <c r="O7" s="160"/>
      <c r="P7" s="156"/>
      <c r="Q7" s="156"/>
      <c r="R7" s="161"/>
    </row>
    <row r="8" spans="1:18" ht="27" customHeight="1" x14ac:dyDescent="0.25">
      <c r="B8" s="162"/>
      <c r="C8" s="163"/>
      <c r="D8" s="164"/>
      <c r="E8" s="165"/>
      <c r="F8" s="166"/>
      <c r="G8" s="167"/>
      <c r="H8" s="157"/>
      <c r="I8" s="167"/>
      <c r="J8" s="164"/>
      <c r="K8" s="164"/>
      <c r="L8" s="164"/>
      <c r="M8" s="160"/>
      <c r="N8" s="160"/>
      <c r="O8" s="160"/>
      <c r="P8" s="156"/>
      <c r="Q8" s="156"/>
      <c r="R8" s="161"/>
    </row>
    <row r="9" spans="1:18" x14ac:dyDescent="0.3">
      <c r="A9" s="64" t="s">
        <v>827</v>
      </c>
    </row>
    <row r="15" spans="1:18" x14ac:dyDescent="0.3">
      <c r="F15" s="7"/>
      <c r="J15" s="7"/>
    </row>
  </sheetData>
  <mergeCells count="31">
    <mergeCell ref="M8:O8"/>
    <mergeCell ref="P8:R8"/>
    <mergeCell ref="B8:C8"/>
    <mergeCell ref="D8:E8"/>
    <mergeCell ref="F8:G8"/>
    <mergeCell ref="H8:I8"/>
    <mergeCell ref="J8:L8"/>
    <mergeCell ref="M6:O6"/>
    <mergeCell ref="P6:R6"/>
    <mergeCell ref="B7:C7"/>
    <mergeCell ref="D7:E7"/>
    <mergeCell ref="F7:G7"/>
    <mergeCell ref="H7:I7"/>
    <mergeCell ref="J7:L7"/>
    <mergeCell ref="M7:O7"/>
    <mergeCell ref="P7:R7"/>
    <mergeCell ref="B6:C6"/>
    <mergeCell ref="D6:E6"/>
    <mergeCell ref="F6:G6"/>
    <mergeCell ref="H6:I6"/>
    <mergeCell ref="J6:L6"/>
    <mergeCell ref="B2:R2"/>
    <mergeCell ref="C3:P3"/>
    <mergeCell ref="Q3:R3"/>
    <mergeCell ref="B5:C5"/>
    <mergeCell ref="D5:E5"/>
    <mergeCell ref="F5:G5"/>
    <mergeCell ref="H5:I5"/>
    <mergeCell ref="J5:L5"/>
    <mergeCell ref="M5:O5"/>
    <mergeCell ref="P5:R5"/>
  </mergeCells>
  <phoneticPr fontId="2" type="noConversion"/>
  <dataValidations disablePrompts="1" count="1">
    <dataValidation type="list" allowBlank="1" showInputMessage="1" showErrorMessage="1" sqref="Q3:R3" xr:uid="{00000000-0002-0000-06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7" max="16383" man="1"/>
  </rowBreak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2:S14"/>
  <sheetViews>
    <sheetView showGridLines="0" tabSelected="1" zoomScale="85" zoomScaleNormal="85" zoomScaleSheetLayoutView="85" workbookViewId="0"/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2" spans="1:19" ht="22.15" customHeight="1" x14ac:dyDescent="0.25">
      <c r="B2" s="93" t="s">
        <v>219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9" ht="72.599999999999994" customHeight="1" x14ac:dyDescent="0.25">
      <c r="A3" s="64" t="s">
        <v>826</v>
      </c>
      <c r="B3" s="43" t="s">
        <v>375</v>
      </c>
      <c r="C3" s="168" t="s">
        <v>376</v>
      </c>
      <c r="D3" s="134"/>
      <c r="E3" s="169" t="s">
        <v>377</v>
      </c>
      <c r="F3" s="134"/>
      <c r="G3" s="169" t="s">
        <v>378</v>
      </c>
      <c r="H3" s="134"/>
      <c r="I3" s="169" t="s">
        <v>379</v>
      </c>
      <c r="J3" s="134"/>
      <c r="K3" s="169" t="s">
        <v>380</v>
      </c>
      <c r="L3" s="134"/>
      <c r="M3" s="169" t="s">
        <v>381</v>
      </c>
      <c r="N3" s="134"/>
      <c r="O3" s="169" t="s">
        <v>799</v>
      </c>
      <c r="P3" s="134"/>
      <c r="Q3" s="170" t="s">
        <v>382</v>
      </c>
      <c r="R3" s="114"/>
      <c r="S3" s="2"/>
    </row>
    <row r="4" spans="1:19" ht="27" customHeight="1" x14ac:dyDescent="0.25">
      <c r="B4" s="42"/>
      <c r="C4" s="157"/>
      <c r="D4" s="97"/>
      <c r="E4" s="164"/>
      <c r="F4" s="109"/>
      <c r="G4" s="157"/>
      <c r="H4" s="97"/>
      <c r="I4" s="157"/>
      <c r="J4" s="97"/>
      <c r="K4" s="157"/>
      <c r="L4" s="97"/>
      <c r="M4" s="157"/>
      <c r="N4" s="97"/>
      <c r="O4" s="157"/>
      <c r="P4" s="97"/>
      <c r="Q4" s="158"/>
      <c r="R4" s="94"/>
      <c r="S4" s="2"/>
    </row>
    <row r="5" spans="1:19" ht="27" customHeight="1" x14ac:dyDescent="0.25">
      <c r="B5" s="42"/>
      <c r="C5" s="157"/>
      <c r="D5" s="97"/>
      <c r="E5" s="164"/>
      <c r="F5" s="109"/>
      <c r="G5" s="157"/>
      <c r="H5" s="97"/>
      <c r="I5" s="157"/>
      <c r="J5" s="97"/>
      <c r="K5" s="157"/>
      <c r="L5" s="97"/>
      <c r="M5" s="157"/>
      <c r="N5" s="97"/>
      <c r="O5" s="157"/>
      <c r="P5" s="97"/>
      <c r="Q5" s="158"/>
      <c r="R5" s="94"/>
    </row>
    <row r="6" spans="1:19" ht="27" customHeight="1" x14ac:dyDescent="0.25">
      <c r="B6" s="42"/>
      <c r="C6" s="157"/>
      <c r="D6" s="97"/>
      <c r="E6" s="164"/>
      <c r="F6" s="109"/>
      <c r="G6" s="157"/>
      <c r="H6" s="97"/>
      <c r="I6" s="157"/>
      <c r="J6" s="97"/>
      <c r="K6" s="157"/>
      <c r="L6" s="97"/>
      <c r="M6" s="157"/>
      <c r="N6" s="97"/>
      <c r="O6" s="157"/>
      <c r="P6" s="97"/>
      <c r="Q6" s="158"/>
      <c r="R6" s="94"/>
    </row>
    <row r="7" spans="1:19" x14ac:dyDescent="0.3">
      <c r="A7" s="65" t="s">
        <v>827</v>
      </c>
    </row>
    <row r="14" spans="1:19" x14ac:dyDescent="0.3">
      <c r="F14" s="7"/>
      <c r="K14" s="7"/>
    </row>
  </sheetData>
  <mergeCells count="33">
    <mergeCell ref="M6:N6"/>
    <mergeCell ref="O6:P6"/>
    <mergeCell ref="Q6:R6"/>
    <mergeCell ref="C6:D6"/>
    <mergeCell ref="E6:F6"/>
    <mergeCell ref="G6:H6"/>
    <mergeCell ref="I6:J6"/>
    <mergeCell ref="K6:L6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4:D4"/>
    <mergeCell ref="E4:F4"/>
    <mergeCell ref="G4:H4"/>
    <mergeCell ref="I4:J4"/>
    <mergeCell ref="K4:L4"/>
    <mergeCell ref="B2:R2"/>
    <mergeCell ref="C3:D3"/>
    <mergeCell ref="E3:F3"/>
    <mergeCell ref="G3:H3"/>
    <mergeCell ref="I3:J3"/>
    <mergeCell ref="K3:L3"/>
    <mergeCell ref="M3:N3"/>
    <mergeCell ref="O3:P3"/>
    <mergeCell ref="Q3:R3"/>
  </mergeCells>
  <phoneticPr fontId="2" type="noConversion"/>
  <dataValidations count="1">
    <dataValidation type="list" allowBlank="1" showInputMessage="1" showErrorMessage="1" sqref="M4:N6" xr:uid="{00000000-0002-0000-07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2:R50"/>
  <sheetViews>
    <sheetView showGridLines="0" zoomScale="85" zoomScaleNormal="85" zoomScaleSheetLayoutView="85" workbookViewId="0">
      <selection activeCell="B2" sqref="B2:R2"/>
    </sheetView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2" spans="1:18" ht="27" customHeight="1" x14ac:dyDescent="0.25">
      <c r="A2" s="26">
        <f>MAX($A$1:A1)+1</f>
        <v>1</v>
      </c>
      <c r="B2" s="129" t="s">
        <v>221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 ht="40.15" customHeight="1" x14ac:dyDescent="0.25">
      <c r="B3" s="129" t="s">
        <v>223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ht="27" customHeight="1" x14ac:dyDescent="0.25">
      <c r="B4" s="93" t="s">
        <v>224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5"/>
      <c r="P4" s="95"/>
      <c r="Q4" s="95"/>
      <c r="R4" s="95"/>
    </row>
    <row r="5" spans="1:18" ht="27" customHeight="1" x14ac:dyDescent="0.25">
      <c r="B5" s="151" t="s">
        <v>383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99"/>
      <c r="P5" s="94"/>
      <c r="Q5" s="94"/>
      <c r="R5" s="94"/>
    </row>
    <row r="6" spans="1:18" ht="27" customHeight="1" x14ac:dyDescent="0.25">
      <c r="B6" s="150" t="s">
        <v>384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7"/>
      <c r="O6" s="99"/>
      <c r="P6" s="94"/>
      <c r="Q6" s="94"/>
      <c r="R6" s="94"/>
    </row>
    <row r="7" spans="1:18" ht="27" customHeight="1" x14ac:dyDescent="0.25">
      <c r="B7" s="150" t="s">
        <v>385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7"/>
      <c r="O7" s="171"/>
      <c r="P7" s="108"/>
      <c r="Q7" s="108"/>
      <c r="R7" s="108"/>
    </row>
    <row r="8" spans="1:18" ht="27" customHeight="1" x14ac:dyDescent="0.25">
      <c r="B8" s="150" t="s">
        <v>386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7"/>
      <c r="O8" s="99"/>
      <c r="P8" s="94"/>
      <c r="Q8" s="94"/>
      <c r="R8" s="94"/>
    </row>
    <row r="9" spans="1:18" ht="27" customHeight="1" x14ac:dyDescent="0.25">
      <c r="B9" s="150" t="s">
        <v>387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7"/>
      <c r="O9" s="99"/>
      <c r="P9" s="94"/>
      <c r="Q9" s="94"/>
      <c r="R9" s="94"/>
    </row>
    <row r="10" spans="1:18" x14ac:dyDescent="0.3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39"/>
      <c r="P10" s="39"/>
      <c r="Q10" s="39"/>
      <c r="R10" s="39"/>
    </row>
    <row r="11" spans="1:18" ht="27" customHeight="1" x14ac:dyDescent="0.25">
      <c r="B11" s="93" t="s">
        <v>225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2" spans="1:18" ht="27" customHeight="1" x14ac:dyDescent="0.25">
      <c r="B12" s="93" t="s">
        <v>226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</row>
    <row r="13" spans="1:18" ht="27" customHeight="1" x14ac:dyDescent="0.25">
      <c r="B13" s="93" t="s">
        <v>227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5"/>
      <c r="P13" s="95"/>
      <c r="Q13" s="95"/>
      <c r="R13" s="95"/>
    </row>
    <row r="14" spans="1:18" ht="27" customHeight="1" x14ac:dyDescent="0.25">
      <c r="B14" s="150" t="s">
        <v>388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172"/>
      <c r="P14" s="173"/>
      <c r="Q14" s="173"/>
      <c r="R14" s="173"/>
    </row>
    <row r="15" spans="1:18" ht="27" customHeight="1" x14ac:dyDescent="0.25">
      <c r="B15" s="93" t="s">
        <v>228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</row>
    <row r="16" spans="1:18" ht="27" customHeight="1" x14ac:dyDescent="0.25">
      <c r="B16" s="93" t="s">
        <v>389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</row>
    <row r="17" spans="2:18" ht="27" customHeight="1" x14ac:dyDescent="0.25">
      <c r="B17" s="174"/>
      <c r="C17" s="114"/>
      <c r="D17" s="114"/>
      <c r="E17" s="114"/>
      <c r="F17" s="114"/>
      <c r="G17" s="134"/>
      <c r="H17" s="175" t="s">
        <v>390</v>
      </c>
      <c r="I17" s="114"/>
      <c r="J17" s="114"/>
      <c r="K17" s="114"/>
      <c r="L17" s="114"/>
      <c r="M17" s="134"/>
      <c r="N17" s="113" t="s">
        <v>391</v>
      </c>
      <c r="O17" s="114"/>
      <c r="P17" s="114"/>
      <c r="Q17" s="114"/>
      <c r="R17" s="114"/>
    </row>
    <row r="18" spans="2:18" ht="27" customHeight="1" x14ac:dyDescent="0.25">
      <c r="B18" s="176" t="s">
        <v>392</v>
      </c>
      <c r="C18" s="94"/>
      <c r="D18" s="94"/>
      <c r="E18" s="94"/>
      <c r="F18" s="94"/>
      <c r="G18" s="97"/>
      <c r="H18" s="177"/>
      <c r="I18" s="94"/>
      <c r="J18" s="94"/>
      <c r="K18" s="94"/>
      <c r="L18" s="94"/>
      <c r="M18" s="97"/>
      <c r="N18" s="178"/>
      <c r="O18" s="94"/>
      <c r="P18" s="94"/>
      <c r="Q18" s="94"/>
      <c r="R18" s="94"/>
    </row>
    <row r="19" spans="2:18" ht="27" customHeight="1" x14ac:dyDescent="0.25">
      <c r="B19" s="176" t="s">
        <v>393</v>
      </c>
      <c r="C19" s="94"/>
      <c r="D19" s="94"/>
      <c r="E19" s="94"/>
      <c r="F19" s="94"/>
      <c r="G19" s="97"/>
      <c r="H19" s="177"/>
      <c r="I19" s="94"/>
      <c r="J19" s="94"/>
      <c r="K19" s="94"/>
      <c r="L19" s="94"/>
      <c r="M19" s="97"/>
      <c r="N19" s="178"/>
      <c r="O19" s="94"/>
      <c r="P19" s="94"/>
      <c r="Q19" s="94"/>
      <c r="R19" s="94"/>
    </row>
    <row r="20" spans="2:18" ht="27" customHeight="1" x14ac:dyDescent="0.25">
      <c r="B20" s="176" t="s">
        <v>394</v>
      </c>
      <c r="C20" s="94"/>
      <c r="D20" s="94"/>
      <c r="E20" s="94"/>
      <c r="F20" s="94"/>
      <c r="G20" s="97"/>
      <c r="H20" s="177"/>
      <c r="I20" s="94"/>
      <c r="J20" s="94"/>
      <c r="K20" s="94"/>
      <c r="L20" s="94"/>
      <c r="M20" s="97"/>
      <c r="N20" s="178"/>
      <c r="O20" s="94"/>
      <c r="P20" s="94"/>
      <c r="Q20" s="94"/>
      <c r="R20" s="94"/>
    </row>
    <row r="21" spans="2:18" ht="27" customHeight="1" x14ac:dyDescent="0.25">
      <c r="B21" s="176" t="s">
        <v>395</v>
      </c>
      <c r="C21" s="94"/>
      <c r="D21" s="94"/>
      <c r="E21" s="94"/>
      <c r="F21" s="94"/>
      <c r="G21" s="97"/>
      <c r="H21" s="177"/>
      <c r="I21" s="94"/>
      <c r="J21" s="94"/>
      <c r="K21" s="94"/>
      <c r="L21" s="94"/>
      <c r="M21" s="97"/>
      <c r="N21" s="178"/>
      <c r="O21" s="94"/>
      <c r="P21" s="94"/>
      <c r="Q21" s="94"/>
      <c r="R21" s="94"/>
    </row>
    <row r="22" spans="2:18" x14ac:dyDescent="0.3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</row>
    <row r="23" spans="2:18" ht="24" customHeight="1" x14ac:dyDescent="0.25">
      <c r="B23" s="93" t="s">
        <v>229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</row>
    <row r="24" spans="2:18" ht="24" customHeight="1" x14ac:dyDescent="0.25">
      <c r="B24" s="93" t="s">
        <v>396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</row>
    <row r="25" spans="2:18" ht="24" customHeight="1" x14ac:dyDescent="0.25">
      <c r="B25" s="179" t="s">
        <v>397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7"/>
      <c r="O25" s="178"/>
      <c r="P25" s="94"/>
      <c r="Q25" s="94"/>
      <c r="R25" s="94"/>
    </row>
    <row r="26" spans="2:18" ht="24" customHeight="1" x14ac:dyDescent="0.25">
      <c r="B26" s="179" t="s">
        <v>398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7"/>
      <c r="O26" s="178"/>
      <c r="P26" s="94"/>
      <c r="Q26" s="94"/>
      <c r="R26" s="94"/>
    </row>
    <row r="27" spans="2:18" ht="24" customHeight="1" x14ac:dyDescent="0.25">
      <c r="B27" s="179" t="s">
        <v>399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178"/>
      <c r="P27" s="94"/>
      <c r="Q27" s="94"/>
      <c r="R27" s="94"/>
    </row>
    <row r="28" spans="2:18" x14ac:dyDescent="0.3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29" spans="2:18" ht="24" customHeight="1" x14ac:dyDescent="0.25">
      <c r="B29" s="93" t="s">
        <v>400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</row>
    <row r="30" spans="2:18" ht="24" customHeight="1" x14ac:dyDescent="0.25">
      <c r="B30" s="179" t="s">
        <v>401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7"/>
      <c r="O30" s="180"/>
      <c r="P30" s="94"/>
      <c r="Q30" s="94"/>
      <c r="R30" s="94"/>
    </row>
    <row r="31" spans="2:18" x14ac:dyDescent="0.3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 spans="2:18" ht="24" customHeight="1" x14ac:dyDescent="0.25">
      <c r="B32" s="93" t="s">
        <v>230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</row>
    <row r="33" spans="2:18" ht="24" customHeight="1" x14ac:dyDescent="0.3">
      <c r="B33" s="181" t="s">
        <v>402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</row>
    <row r="34" spans="2:18" ht="24" customHeight="1" x14ac:dyDescent="0.3">
      <c r="B34" s="181" t="s">
        <v>403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</row>
    <row r="35" spans="2:18" ht="24" customHeight="1" x14ac:dyDescent="0.25">
      <c r="B35" s="176"/>
      <c r="C35" s="94"/>
      <c r="D35" s="97"/>
      <c r="E35" s="98" t="s">
        <v>404</v>
      </c>
      <c r="F35" s="94"/>
      <c r="G35" s="94"/>
      <c r="H35" s="97"/>
      <c r="I35" s="98" t="s">
        <v>405</v>
      </c>
      <c r="J35" s="94"/>
      <c r="K35" s="97"/>
      <c r="L35" s="98" t="s">
        <v>406</v>
      </c>
      <c r="M35" s="94"/>
      <c r="N35" s="97"/>
      <c r="O35" s="99" t="s">
        <v>407</v>
      </c>
      <c r="P35" s="94"/>
      <c r="Q35" s="94"/>
      <c r="R35" s="94"/>
    </row>
    <row r="36" spans="2:18" ht="24" customHeight="1" x14ac:dyDescent="0.25">
      <c r="B36" s="176" t="s">
        <v>392</v>
      </c>
      <c r="C36" s="94"/>
      <c r="D36" s="97"/>
      <c r="E36" s="177"/>
      <c r="F36" s="94"/>
      <c r="G36" s="94"/>
      <c r="H36" s="97"/>
      <c r="I36" s="177"/>
      <c r="J36" s="94"/>
      <c r="K36" s="97"/>
      <c r="L36" s="177"/>
      <c r="M36" s="94"/>
      <c r="N36" s="97"/>
      <c r="O36" s="178"/>
      <c r="P36" s="94"/>
      <c r="Q36" s="94"/>
      <c r="R36" s="94"/>
    </row>
    <row r="37" spans="2:18" ht="24" customHeight="1" x14ac:dyDescent="0.25">
      <c r="B37" s="176" t="s">
        <v>393</v>
      </c>
      <c r="C37" s="94"/>
      <c r="D37" s="97"/>
      <c r="E37" s="177"/>
      <c r="F37" s="94"/>
      <c r="G37" s="94"/>
      <c r="H37" s="97"/>
      <c r="I37" s="177"/>
      <c r="J37" s="94"/>
      <c r="K37" s="97"/>
      <c r="L37" s="177"/>
      <c r="M37" s="94"/>
      <c r="N37" s="97"/>
      <c r="O37" s="178"/>
      <c r="P37" s="94"/>
      <c r="Q37" s="94"/>
      <c r="R37" s="94"/>
    </row>
    <row r="38" spans="2:18" ht="24" customHeight="1" x14ac:dyDescent="0.25">
      <c r="B38" s="176" t="s">
        <v>394</v>
      </c>
      <c r="C38" s="94"/>
      <c r="D38" s="97"/>
      <c r="E38" s="177"/>
      <c r="F38" s="94"/>
      <c r="G38" s="94"/>
      <c r="H38" s="97"/>
      <c r="I38" s="177"/>
      <c r="J38" s="94"/>
      <c r="K38" s="97"/>
      <c r="L38" s="177"/>
      <c r="M38" s="94"/>
      <c r="N38" s="97"/>
      <c r="O38" s="178"/>
      <c r="P38" s="94"/>
      <c r="Q38" s="94"/>
      <c r="R38" s="94"/>
    </row>
    <row r="39" spans="2:18" x14ac:dyDescent="0.25">
      <c r="B39" s="176" t="s">
        <v>408</v>
      </c>
      <c r="C39" s="94"/>
      <c r="D39" s="97"/>
      <c r="E39" s="177"/>
      <c r="F39" s="94"/>
      <c r="G39" s="94"/>
      <c r="H39" s="97"/>
      <c r="I39" s="177"/>
      <c r="J39" s="94"/>
      <c r="K39" s="97"/>
      <c r="L39" s="177"/>
      <c r="M39" s="94"/>
      <c r="N39" s="97"/>
      <c r="O39" s="178"/>
      <c r="P39" s="94"/>
      <c r="Q39" s="94"/>
      <c r="R39" s="94"/>
    </row>
    <row r="40" spans="2:18" x14ac:dyDescent="0.3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</row>
    <row r="41" spans="2:18" ht="24" customHeight="1" x14ac:dyDescent="0.25">
      <c r="B41" s="93" t="s">
        <v>231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95"/>
      <c r="O41" s="95"/>
      <c r="P41" s="95"/>
      <c r="Q41" s="95"/>
      <c r="R41" s="95"/>
    </row>
    <row r="42" spans="2:18" ht="24" customHeight="1" x14ac:dyDescent="0.25">
      <c r="B42" s="179" t="s">
        <v>409</v>
      </c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182"/>
      <c r="N42" s="94"/>
      <c r="O42" s="94"/>
      <c r="P42" s="94"/>
      <c r="Q42" s="94"/>
      <c r="R42" s="94"/>
    </row>
    <row r="43" spans="2:18" ht="24" customHeight="1" x14ac:dyDescent="0.25">
      <c r="B43" s="179" t="s">
        <v>410</v>
      </c>
      <c r="C43" s="94"/>
      <c r="D43" s="94"/>
      <c r="E43" s="94"/>
      <c r="F43" s="94"/>
      <c r="G43" s="94"/>
      <c r="H43" s="94"/>
      <c r="I43" s="94"/>
      <c r="J43" s="94"/>
      <c r="K43" s="94"/>
      <c r="L43" s="97"/>
      <c r="M43" s="99"/>
      <c r="N43" s="94"/>
      <c r="O43" s="94"/>
      <c r="P43" s="94"/>
      <c r="Q43" s="94"/>
      <c r="R43" s="94"/>
    </row>
    <row r="44" spans="2:18" ht="24" customHeight="1" x14ac:dyDescent="0.25">
      <c r="B44" s="179" t="s">
        <v>411</v>
      </c>
      <c r="C44" s="94"/>
      <c r="D44" s="94"/>
      <c r="E44" s="94"/>
      <c r="F44" s="94"/>
      <c r="G44" s="94"/>
      <c r="H44" s="94"/>
      <c r="I44" s="94"/>
      <c r="J44" s="94"/>
      <c r="K44" s="94"/>
      <c r="L44" s="97"/>
      <c r="M44" s="178"/>
      <c r="N44" s="94"/>
      <c r="O44" s="94"/>
      <c r="P44" s="94"/>
      <c r="Q44" s="94"/>
      <c r="R44" s="94"/>
    </row>
    <row r="45" spans="2:18" ht="24" customHeight="1" x14ac:dyDescent="0.25">
      <c r="B45" s="179" t="s">
        <v>412</v>
      </c>
      <c r="C45" s="94"/>
      <c r="D45" s="94"/>
      <c r="E45" s="94"/>
      <c r="F45" s="94"/>
      <c r="G45" s="94"/>
      <c r="H45" s="94"/>
      <c r="I45" s="94"/>
      <c r="J45" s="94"/>
      <c r="K45" s="94"/>
      <c r="L45" s="97"/>
      <c r="M45" s="178"/>
      <c r="N45" s="94"/>
      <c r="O45" s="94"/>
      <c r="P45" s="94"/>
      <c r="Q45" s="94"/>
      <c r="R45" s="94"/>
    </row>
    <row r="46" spans="2:18" ht="24" customHeight="1" x14ac:dyDescent="0.3">
      <c r="B46" s="179" t="s">
        <v>413</v>
      </c>
      <c r="C46" s="95"/>
      <c r="D46" s="95"/>
      <c r="E46" s="95"/>
      <c r="F46" s="95"/>
      <c r="G46" s="95"/>
      <c r="H46" s="95"/>
      <c r="I46" s="95"/>
      <c r="J46" s="95"/>
      <c r="K46" s="95"/>
      <c r="L46" s="133"/>
      <c r="M46" s="112"/>
      <c r="N46" s="132"/>
      <c r="O46" s="132"/>
      <c r="P46" s="132"/>
      <c r="Q46" s="132"/>
      <c r="R46" s="132"/>
    </row>
    <row r="47" spans="2:18" ht="21" customHeight="1" x14ac:dyDescent="0.3"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7"/>
      <c r="M47" s="140"/>
      <c r="N47" s="141"/>
      <c r="O47" s="141"/>
      <c r="P47" s="141"/>
      <c r="Q47" s="141"/>
      <c r="R47" s="141"/>
    </row>
    <row r="48" spans="2:18" ht="24" customHeight="1" x14ac:dyDescent="0.3"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34"/>
      <c r="M48" s="113"/>
      <c r="N48" s="142"/>
      <c r="O48" s="142"/>
      <c r="P48" s="142"/>
      <c r="Q48" s="142"/>
      <c r="R48" s="142"/>
    </row>
    <row r="49" spans="2:18" ht="24" customHeight="1" x14ac:dyDescent="0.25">
      <c r="B49" s="179" t="s">
        <v>414</v>
      </c>
      <c r="C49" s="94"/>
      <c r="D49" s="94"/>
      <c r="E49" s="94"/>
      <c r="F49" s="94"/>
      <c r="G49" s="94"/>
      <c r="H49" s="94"/>
      <c r="I49" s="94"/>
      <c r="J49" s="94"/>
      <c r="K49" s="94"/>
      <c r="L49" s="97"/>
      <c r="M49" s="178"/>
      <c r="N49" s="94"/>
      <c r="O49" s="94"/>
      <c r="P49" s="94"/>
      <c r="Q49" s="94"/>
      <c r="R49" s="94"/>
    </row>
    <row r="50" spans="2:18" ht="24" customHeight="1" x14ac:dyDescent="0.25">
      <c r="B50" s="179" t="s">
        <v>415</v>
      </c>
      <c r="C50" s="94"/>
      <c r="D50" s="94"/>
      <c r="E50" s="94"/>
      <c r="F50" s="94"/>
      <c r="G50" s="94"/>
      <c r="H50" s="94"/>
      <c r="I50" s="94"/>
      <c r="J50" s="94"/>
      <c r="K50" s="94"/>
      <c r="L50" s="97"/>
      <c r="M50" s="178"/>
      <c r="N50" s="94"/>
      <c r="O50" s="94"/>
      <c r="P50" s="94"/>
      <c r="Q50" s="94"/>
      <c r="R50" s="94"/>
    </row>
  </sheetData>
  <mergeCells count="89">
    <mergeCell ref="B49:L49"/>
    <mergeCell ref="M49:R49"/>
    <mergeCell ref="B50:L50"/>
    <mergeCell ref="M50:R50"/>
    <mergeCell ref="B44:L44"/>
    <mergeCell ref="M44:R44"/>
    <mergeCell ref="B45:L45"/>
    <mergeCell ref="M45:R45"/>
    <mergeCell ref="B46:L48"/>
    <mergeCell ref="M46:R48"/>
    <mergeCell ref="B41:R41"/>
    <mergeCell ref="B42:L42"/>
    <mergeCell ref="M42:R42"/>
    <mergeCell ref="B43:L43"/>
    <mergeCell ref="M43:R43"/>
    <mergeCell ref="B39:D39"/>
    <mergeCell ref="E39:H39"/>
    <mergeCell ref="I39:K39"/>
    <mergeCell ref="L39:N39"/>
    <mergeCell ref="O39:R39"/>
    <mergeCell ref="B38:D38"/>
    <mergeCell ref="E38:H38"/>
    <mergeCell ref="I38:K38"/>
    <mergeCell ref="L38:N38"/>
    <mergeCell ref="O38:R38"/>
    <mergeCell ref="B37:D37"/>
    <mergeCell ref="E37:H37"/>
    <mergeCell ref="I37:K37"/>
    <mergeCell ref="L37:N37"/>
    <mergeCell ref="O37:R37"/>
    <mergeCell ref="B36:D36"/>
    <mergeCell ref="E36:H36"/>
    <mergeCell ref="I36:K36"/>
    <mergeCell ref="L36:N36"/>
    <mergeCell ref="O36:R36"/>
    <mergeCell ref="B32:R32"/>
    <mergeCell ref="B33:R33"/>
    <mergeCell ref="B34:R34"/>
    <mergeCell ref="B35:D35"/>
    <mergeCell ref="E35:H35"/>
    <mergeCell ref="I35:K35"/>
    <mergeCell ref="L35:N35"/>
    <mergeCell ref="O35:R35"/>
    <mergeCell ref="B27:N27"/>
    <mergeCell ref="O27:R27"/>
    <mergeCell ref="B29:R29"/>
    <mergeCell ref="B30:N30"/>
    <mergeCell ref="O30:R30"/>
    <mergeCell ref="B23:R23"/>
    <mergeCell ref="B24:R24"/>
    <mergeCell ref="B25:N25"/>
    <mergeCell ref="O25:R25"/>
    <mergeCell ref="B26:N26"/>
    <mergeCell ref="O26:R26"/>
    <mergeCell ref="B20:G20"/>
    <mergeCell ref="H20:M20"/>
    <mergeCell ref="N20:R20"/>
    <mergeCell ref="B21:G21"/>
    <mergeCell ref="H21:M21"/>
    <mergeCell ref="N21:R21"/>
    <mergeCell ref="B18:G18"/>
    <mergeCell ref="H18:M18"/>
    <mergeCell ref="N18:R18"/>
    <mergeCell ref="B19:G19"/>
    <mergeCell ref="H19:M19"/>
    <mergeCell ref="N19:R19"/>
    <mergeCell ref="B14:N14"/>
    <mergeCell ref="O14:R14"/>
    <mergeCell ref="B15:R15"/>
    <mergeCell ref="B16:R16"/>
    <mergeCell ref="B17:G17"/>
    <mergeCell ref="H17:M17"/>
    <mergeCell ref="N17:R17"/>
    <mergeCell ref="B9:N9"/>
    <mergeCell ref="O9:R9"/>
    <mergeCell ref="B11:R11"/>
    <mergeCell ref="B12:R12"/>
    <mergeCell ref="B13:R13"/>
    <mergeCell ref="B6:N6"/>
    <mergeCell ref="O6:R6"/>
    <mergeCell ref="B7:N7"/>
    <mergeCell ref="O7:R7"/>
    <mergeCell ref="B8:N8"/>
    <mergeCell ref="O8:R8"/>
    <mergeCell ref="B2:R2"/>
    <mergeCell ref="B3:R3"/>
    <mergeCell ref="B4:R4"/>
    <mergeCell ref="B5:N5"/>
    <mergeCell ref="O5:R5"/>
  </mergeCells>
  <phoneticPr fontId="2" type="noConversion"/>
  <dataValidations count="3">
    <dataValidation type="list" allowBlank="1" showInputMessage="1" showErrorMessage="1" sqref="O10:R10" xr:uid="{00000000-0002-0000-0800-000000000000}">
      <formula1>"여,부"</formula1>
    </dataValidation>
    <dataValidation type="list" allowBlank="1" showInputMessage="1" showErrorMessage="1" sqref="B33:R33" xr:uid="{00000000-0002-0000-0800-000001000000}">
      <formula1>"□ 신고대상 사업연도에 대한 최소적용제외 특례 선택, ■ 신고대상 사업연도에 대한 최소적용제외 특례 선택"</formula1>
    </dataValidation>
    <dataValidation type="list" allowBlank="1" showInputMessage="1" showErrorMessage="1" sqref="B34:R34" xr:uid="{00000000-0002-0000-0800-000002000000}">
      <formula1>"□ 중요성이 낮은 구성기업에 대한 간소화 계산을 하는 경우 - 중요성이 낮은 구성기업 외의 일반 구성기업에 대한 최소적용제외 특례 선택,■ 중요성이 낮은 구성기업에 대한 간소화 계산을 하는 경우 - 중요성이 낮은 구성기업 외의 일반 구성기업에 대한 최소적용제외 특례 선택"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FFAB-6A23-43FE-AF88-0A9869CA383C}">
  <sheetPr codeName="Sheet9">
    <pageSetUpPr fitToPage="1"/>
  </sheetPr>
  <dimension ref="A1:R30"/>
  <sheetViews>
    <sheetView showGridLines="0" zoomScale="85" zoomScaleNormal="85" zoomScaleSheetLayoutView="85" workbookViewId="0">
      <selection activeCell="B2" sqref="B2:R2"/>
    </sheetView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1" spans="1:18" ht="7.9" customHeight="1" x14ac:dyDescent="0.3"/>
    <row r="2" spans="1:18" ht="22.15" customHeight="1" x14ac:dyDescent="0.25">
      <c r="B2" s="152" t="s">
        <v>309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90" customHeight="1" x14ac:dyDescent="0.25">
      <c r="A3" s="64" t="s">
        <v>826</v>
      </c>
      <c r="B3" s="47" t="s">
        <v>416</v>
      </c>
      <c r="C3" s="113" t="s">
        <v>800</v>
      </c>
      <c r="D3" s="184"/>
      <c r="E3" s="175" t="s">
        <v>417</v>
      </c>
      <c r="F3" s="134"/>
      <c r="G3" s="185" t="s">
        <v>418</v>
      </c>
      <c r="H3" s="114"/>
      <c r="I3" s="134"/>
      <c r="J3" s="185" t="s">
        <v>419</v>
      </c>
      <c r="K3" s="134"/>
      <c r="L3" s="185" t="s">
        <v>420</v>
      </c>
      <c r="M3" s="134"/>
      <c r="N3" s="113" t="s">
        <v>421</v>
      </c>
      <c r="O3" s="114"/>
      <c r="P3" s="114"/>
      <c r="Q3" s="113" t="s">
        <v>422</v>
      </c>
      <c r="R3" s="114"/>
    </row>
    <row r="4" spans="1:18" ht="25.15" customHeight="1" x14ac:dyDescent="0.25">
      <c r="B4" s="48"/>
      <c r="C4" s="177">
        <v>0</v>
      </c>
      <c r="D4" s="97"/>
      <c r="E4" s="177"/>
      <c r="F4" s="97"/>
      <c r="G4" s="177"/>
      <c r="H4" s="94"/>
      <c r="I4" s="97"/>
      <c r="J4" s="183"/>
      <c r="K4" s="97"/>
      <c r="L4" s="177"/>
      <c r="M4" s="97"/>
      <c r="N4" s="178"/>
      <c r="O4" s="94"/>
      <c r="P4" s="94"/>
      <c r="Q4" s="178"/>
      <c r="R4" s="94"/>
    </row>
    <row r="5" spans="1:18" ht="25.15" customHeight="1" x14ac:dyDescent="0.25">
      <c r="B5" s="48"/>
      <c r="C5" s="177">
        <v>0</v>
      </c>
      <c r="D5" s="97"/>
      <c r="E5" s="177"/>
      <c r="F5" s="97"/>
      <c r="G5" s="177"/>
      <c r="H5" s="94"/>
      <c r="I5" s="97"/>
      <c r="J5" s="183"/>
      <c r="K5" s="97"/>
      <c r="L5" s="177"/>
      <c r="M5" s="97"/>
      <c r="N5" s="178"/>
      <c r="O5" s="94"/>
      <c r="P5" s="94"/>
      <c r="Q5" s="178"/>
      <c r="R5" s="94"/>
    </row>
    <row r="6" spans="1:18" ht="25.15" customHeight="1" x14ac:dyDescent="0.25">
      <c r="B6" s="48"/>
      <c r="C6" s="177">
        <v>0</v>
      </c>
      <c r="D6" s="97"/>
      <c r="E6" s="177"/>
      <c r="F6" s="97"/>
      <c r="G6" s="177"/>
      <c r="H6" s="94"/>
      <c r="I6" s="97"/>
      <c r="J6" s="183"/>
      <c r="K6" s="97"/>
      <c r="L6" s="177"/>
      <c r="M6" s="97"/>
      <c r="N6" s="178"/>
      <c r="O6" s="94"/>
      <c r="P6" s="94"/>
      <c r="Q6" s="178"/>
      <c r="R6" s="94"/>
    </row>
    <row r="7" spans="1:18" ht="25.15" customHeight="1" x14ac:dyDescent="0.25">
      <c r="A7" s="65" t="s">
        <v>827</v>
      </c>
      <c r="B7" s="49" t="s">
        <v>423</v>
      </c>
      <c r="C7" s="177">
        <v>0</v>
      </c>
      <c r="D7" s="97"/>
      <c r="E7" s="177"/>
      <c r="F7" s="97"/>
      <c r="G7" s="177"/>
      <c r="H7" s="94"/>
      <c r="I7" s="97"/>
      <c r="J7" s="183"/>
      <c r="K7" s="97"/>
      <c r="L7" s="177"/>
      <c r="M7" s="97"/>
      <c r="N7" s="178"/>
      <c r="O7" s="94"/>
      <c r="P7" s="94"/>
      <c r="Q7" s="178"/>
      <c r="R7" s="94"/>
    </row>
    <row r="8" spans="1:18" ht="19.899999999999999" customHeight="1" x14ac:dyDescent="0.3"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</row>
    <row r="9" spans="1:18" ht="25.15" customHeight="1" x14ac:dyDescent="0.3"/>
    <row r="10" spans="1:18" ht="25.15" customHeight="1" x14ac:dyDescent="0.3"/>
    <row r="11" spans="1:18" ht="25.15" customHeight="1" x14ac:dyDescent="0.3"/>
    <row r="12" spans="1:18" ht="25.15" customHeight="1" x14ac:dyDescent="0.3"/>
    <row r="13" spans="1:18" ht="25.15" customHeight="1" x14ac:dyDescent="0.3"/>
    <row r="14" spans="1:18" ht="25.15" customHeight="1" x14ac:dyDescent="0.3"/>
    <row r="15" spans="1:18" ht="25.15" customHeight="1" x14ac:dyDescent="0.3">
      <c r="F15" s="7"/>
      <c r="K15" s="7"/>
    </row>
    <row r="16" spans="1:18" ht="25.15" customHeight="1" x14ac:dyDescent="0.3"/>
    <row r="17" ht="25.15" customHeight="1" x14ac:dyDescent="0.3"/>
    <row r="18" ht="25.15" customHeight="1" x14ac:dyDescent="0.3"/>
    <row r="19" ht="25.15" customHeight="1" x14ac:dyDescent="0.3"/>
    <row r="20" ht="25.15" customHeight="1" x14ac:dyDescent="0.3"/>
    <row r="21" ht="25.15" customHeight="1" x14ac:dyDescent="0.3"/>
    <row r="22" ht="25.15" customHeight="1" x14ac:dyDescent="0.3"/>
    <row r="23" ht="25.15" customHeight="1" x14ac:dyDescent="0.3"/>
    <row r="24" ht="25.15" customHeight="1" x14ac:dyDescent="0.3"/>
    <row r="25" ht="25.15" customHeight="1" x14ac:dyDescent="0.3"/>
    <row r="26" ht="25.15" customHeight="1" x14ac:dyDescent="0.3"/>
    <row r="27" ht="25.15" customHeight="1" x14ac:dyDescent="0.3"/>
    <row r="28" ht="25.15" customHeight="1" x14ac:dyDescent="0.3"/>
    <row r="29" ht="25.15" customHeight="1" x14ac:dyDescent="0.3"/>
    <row r="30" ht="25.15" customHeight="1" x14ac:dyDescent="0.3"/>
  </sheetData>
  <mergeCells count="36">
    <mergeCell ref="N7:P7"/>
    <mergeCell ref="Q7:R7"/>
    <mergeCell ref="C7:D7"/>
    <mergeCell ref="E7:F7"/>
    <mergeCell ref="G7:I7"/>
    <mergeCell ref="J7:K7"/>
    <mergeCell ref="L7:M7"/>
    <mergeCell ref="N4:P4"/>
    <mergeCell ref="Q4:R4"/>
    <mergeCell ref="C6:D6"/>
    <mergeCell ref="E6:F6"/>
    <mergeCell ref="G6:I6"/>
    <mergeCell ref="J6:K6"/>
    <mergeCell ref="L6:M6"/>
    <mergeCell ref="N6:P6"/>
    <mergeCell ref="Q6:R6"/>
    <mergeCell ref="C4:D4"/>
    <mergeCell ref="E4:F4"/>
    <mergeCell ref="G4:I4"/>
    <mergeCell ref="J4:K4"/>
    <mergeCell ref="L4:M4"/>
    <mergeCell ref="C5:D5"/>
    <mergeCell ref="E5:F5"/>
    <mergeCell ref="B2:R2"/>
    <mergeCell ref="C3:D3"/>
    <mergeCell ref="E3:F3"/>
    <mergeCell ref="G3:I3"/>
    <mergeCell ref="J3:K3"/>
    <mergeCell ref="L3:M3"/>
    <mergeCell ref="N3:P3"/>
    <mergeCell ref="Q3:R3"/>
    <mergeCell ref="G5:I5"/>
    <mergeCell ref="J5:K5"/>
    <mergeCell ref="L5:M5"/>
    <mergeCell ref="N5:P5"/>
    <mergeCell ref="Q5:R5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302C-500D-4F52-919E-63ACE5D62537}">
  <sheetPr codeName="Sheet12">
    <pageSetUpPr fitToPage="1"/>
  </sheetPr>
  <dimension ref="A2:S259"/>
  <sheetViews>
    <sheetView showGridLines="0" zoomScale="85" zoomScaleNormal="85" zoomScaleSheetLayoutView="85" workbookViewId="0">
      <selection activeCell="B2" sqref="B2:R2"/>
    </sheetView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19" width="8.75" style="1" customWidth="1"/>
    <col min="20" max="16384" width="8.75" style="1"/>
  </cols>
  <sheetData>
    <row r="2" spans="1:18" x14ac:dyDescent="0.25">
      <c r="A2" s="26">
        <f>MAX($A$1:A1)+1</f>
        <v>1</v>
      </c>
      <c r="B2" s="129" t="s">
        <v>232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 ht="31.15" customHeight="1" x14ac:dyDescent="0.25">
      <c r="B3" s="129" t="s">
        <v>424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x14ac:dyDescent="0.25">
      <c r="B4" s="93" t="s">
        <v>234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</row>
    <row r="5" spans="1:18" x14ac:dyDescent="0.25">
      <c r="B5" s="151" t="s">
        <v>425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34"/>
      <c r="O5" s="141"/>
      <c r="P5" s="101"/>
      <c r="Q5" s="101"/>
      <c r="R5" s="101"/>
    </row>
    <row r="6" spans="1:18" x14ac:dyDescent="0.25">
      <c r="B6" s="150" t="s">
        <v>426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7"/>
      <c r="O6" s="132"/>
      <c r="P6" s="95"/>
      <c r="Q6" s="95"/>
      <c r="R6" s="95"/>
    </row>
    <row r="7" spans="1:18" x14ac:dyDescent="0.25">
      <c r="B7" s="150" t="s">
        <v>427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7"/>
      <c r="O7" s="132"/>
      <c r="P7" s="95"/>
      <c r="Q7" s="95"/>
      <c r="R7" s="95"/>
    </row>
    <row r="8" spans="1:18" x14ac:dyDescent="0.25">
      <c r="B8" s="150" t="s">
        <v>428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7"/>
      <c r="O8" s="239"/>
      <c r="P8" s="240"/>
      <c r="Q8" s="240"/>
      <c r="R8" s="240"/>
    </row>
    <row r="9" spans="1:18" x14ac:dyDescent="0.25">
      <c r="B9" s="150" t="s">
        <v>429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7"/>
      <c r="O9" s="241"/>
      <c r="P9" s="242"/>
      <c r="Q9" s="242"/>
      <c r="R9" s="242"/>
    </row>
    <row r="10" spans="1:18" x14ac:dyDescent="0.25">
      <c r="B10" s="150" t="s">
        <v>430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7"/>
      <c r="O10" s="241"/>
      <c r="P10" s="242"/>
      <c r="Q10" s="242"/>
      <c r="R10" s="242"/>
    </row>
    <row r="11" spans="1:18" x14ac:dyDescent="0.25">
      <c r="B11" s="150" t="s">
        <v>431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7"/>
      <c r="O11" s="241"/>
      <c r="P11" s="242"/>
      <c r="Q11" s="242"/>
      <c r="R11" s="242"/>
    </row>
    <row r="12" spans="1:18" x14ac:dyDescent="0.25">
      <c r="B12" s="150" t="s">
        <v>432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7"/>
      <c r="O12" s="241"/>
      <c r="P12" s="242"/>
      <c r="Q12" s="242"/>
      <c r="R12" s="242"/>
    </row>
    <row r="13" spans="1:18" x14ac:dyDescent="0.25">
      <c r="B13" s="150" t="s">
        <v>433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7"/>
      <c r="O13" s="241"/>
      <c r="P13" s="242"/>
      <c r="Q13" s="242"/>
      <c r="R13" s="242"/>
    </row>
    <row r="14" spans="1:18" x14ac:dyDescent="0.25">
      <c r="B14" s="150" t="s">
        <v>434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7"/>
      <c r="O14" s="241"/>
      <c r="P14" s="242"/>
      <c r="Q14" s="242"/>
      <c r="R14" s="242"/>
    </row>
    <row r="15" spans="1:18" x14ac:dyDescent="0.25">
      <c r="B15" s="150" t="s">
        <v>435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7"/>
      <c r="O15" s="241"/>
      <c r="P15" s="242"/>
      <c r="Q15" s="242"/>
      <c r="R15" s="242"/>
    </row>
    <row r="16" spans="1:18" x14ac:dyDescent="0.25">
      <c r="B16" s="150" t="s">
        <v>436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7"/>
      <c r="O16" s="241"/>
      <c r="P16" s="242"/>
      <c r="Q16" s="242"/>
      <c r="R16" s="242"/>
    </row>
    <row r="17" spans="2:18" x14ac:dyDescent="0.25">
      <c r="B17" s="150" t="s">
        <v>437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7"/>
      <c r="O17" s="241"/>
      <c r="P17" s="242"/>
      <c r="Q17" s="242"/>
      <c r="R17" s="242"/>
    </row>
    <row r="18" spans="2:18" x14ac:dyDescent="0.25">
      <c r="B18" s="150" t="s">
        <v>438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7"/>
      <c r="O18" s="241"/>
      <c r="P18" s="242"/>
      <c r="Q18" s="242"/>
      <c r="R18" s="242"/>
    </row>
    <row r="19" spans="2:18" x14ac:dyDescent="0.25">
      <c r="B19" s="150" t="s">
        <v>439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7"/>
      <c r="O19" s="241"/>
      <c r="P19" s="242"/>
      <c r="Q19" s="242"/>
      <c r="R19" s="242"/>
    </row>
    <row r="20" spans="2:18" x14ac:dyDescent="0.25">
      <c r="B20" s="150" t="s">
        <v>440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7"/>
      <c r="O20" s="241"/>
      <c r="P20" s="242"/>
      <c r="Q20" s="242"/>
      <c r="R20" s="242"/>
    </row>
    <row r="21" spans="2:18" x14ac:dyDescent="0.25">
      <c r="B21" s="150" t="s">
        <v>441</v>
      </c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7"/>
      <c r="O21" s="241"/>
      <c r="P21" s="242"/>
      <c r="Q21" s="242"/>
      <c r="R21" s="242"/>
    </row>
    <row r="22" spans="2:18" x14ac:dyDescent="0.25">
      <c r="B22" s="150" t="s">
        <v>442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7"/>
      <c r="O22" s="243"/>
      <c r="P22" s="244"/>
      <c r="Q22" s="244"/>
      <c r="R22" s="244"/>
    </row>
    <row r="23" spans="2:18" x14ac:dyDescent="0.3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</row>
    <row r="24" spans="2:18" x14ac:dyDescent="0.25">
      <c r="B24" s="200" t="s">
        <v>235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</row>
    <row r="25" spans="2:18" x14ac:dyDescent="0.25">
      <c r="B25" s="152" t="s">
        <v>236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</row>
    <row r="26" spans="2:18" x14ac:dyDescent="0.25">
      <c r="B26" s="184" t="s">
        <v>443</v>
      </c>
      <c r="C26" s="114"/>
      <c r="D26" s="134"/>
      <c r="E26" s="175" t="s">
        <v>444</v>
      </c>
      <c r="F26" s="114"/>
      <c r="G26" s="114"/>
      <c r="H26" s="134"/>
      <c r="I26" s="175" t="s">
        <v>445</v>
      </c>
      <c r="J26" s="114"/>
      <c r="K26" s="134"/>
      <c r="L26" s="175" t="s">
        <v>446</v>
      </c>
      <c r="M26" s="114"/>
      <c r="N26" s="134"/>
      <c r="O26" s="113" t="s">
        <v>447</v>
      </c>
      <c r="P26" s="114"/>
      <c r="Q26" s="114"/>
      <c r="R26" s="114"/>
    </row>
    <row r="27" spans="2:18" x14ac:dyDescent="0.25">
      <c r="B27" s="195"/>
      <c r="C27" s="94"/>
      <c r="D27" s="97"/>
      <c r="E27" s="177">
        <f>O58</f>
        <v>0</v>
      </c>
      <c r="F27" s="94"/>
      <c r="G27" s="94"/>
      <c r="H27" s="97"/>
      <c r="I27" s="177"/>
      <c r="J27" s="94"/>
      <c r="K27" s="97"/>
      <c r="L27" s="177">
        <f>O84</f>
        <v>0</v>
      </c>
      <c r="M27" s="94"/>
      <c r="N27" s="97"/>
      <c r="O27" s="180" t="e">
        <f>L27/E27</f>
        <v>#DIV/0!</v>
      </c>
      <c r="P27" s="94"/>
      <c r="Q27" s="94"/>
      <c r="R27" s="94"/>
    </row>
    <row r="28" spans="2:18" ht="19.899999999999999" customHeight="1" x14ac:dyDescent="0.3">
      <c r="B28" s="50"/>
      <c r="C28" s="50"/>
      <c r="D28" s="50"/>
      <c r="E28" s="50"/>
      <c r="F28" s="50"/>
      <c r="G28" s="50"/>
      <c r="H28" s="50"/>
      <c r="I28" s="50"/>
      <c r="J28" s="51"/>
      <c r="K28" s="51"/>
      <c r="L28" s="51"/>
      <c r="M28" s="51"/>
      <c r="N28" s="51"/>
      <c r="O28" s="51"/>
      <c r="P28" s="51"/>
      <c r="Q28" s="51"/>
      <c r="R28" s="51"/>
    </row>
    <row r="29" spans="2:18" ht="19.899999999999999" customHeight="1" x14ac:dyDescent="0.25">
      <c r="B29" s="152" t="s">
        <v>237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</row>
    <row r="30" spans="2:18" ht="19.899999999999999" customHeight="1" x14ac:dyDescent="0.25">
      <c r="B30" s="227" t="s">
        <v>238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7"/>
      <c r="O30" s="238"/>
      <c r="P30" s="114"/>
      <c r="Q30" s="114"/>
      <c r="R30" s="114"/>
    </row>
    <row r="31" spans="2:18" ht="19.899999999999999" customHeight="1" x14ac:dyDescent="0.25">
      <c r="B31" s="227" t="s">
        <v>239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7"/>
      <c r="O31" s="236" t="s">
        <v>448</v>
      </c>
      <c r="P31" s="94"/>
      <c r="Q31" s="94"/>
      <c r="R31" s="94"/>
    </row>
    <row r="32" spans="2:18" ht="19.899999999999999" customHeight="1" x14ac:dyDescent="0.25">
      <c r="B32" s="135" t="s">
        <v>449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7"/>
      <c r="O32" s="189"/>
      <c r="P32" s="94"/>
      <c r="Q32" s="94"/>
      <c r="R32" s="94"/>
    </row>
    <row r="33" spans="2:18" ht="19.899999999999999" customHeight="1" x14ac:dyDescent="0.25">
      <c r="B33" s="237" t="s">
        <v>450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34"/>
      <c r="O33" s="238"/>
      <c r="P33" s="114"/>
      <c r="Q33" s="114"/>
      <c r="R33" s="114"/>
    </row>
    <row r="34" spans="2:18" ht="19.899999999999999" customHeight="1" x14ac:dyDescent="0.25">
      <c r="B34" s="135" t="s">
        <v>451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7"/>
      <c r="O34" s="189"/>
      <c r="P34" s="94"/>
      <c r="Q34" s="94"/>
      <c r="R34" s="94"/>
    </row>
    <row r="35" spans="2:18" ht="19.899999999999999" customHeight="1" x14ac:dyDescent="0.25">
      <c r="B35" s="135" t="s">
        <v>452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7"/>
      <c r="O35" s="189"/>
      <c r="P35" s="94"/>
      <c r="Q35" s="94"/>
      <c r="R35" s="94"/>
    </row>
    <row r="36" spans="2:18" ht="19.899999999999999" customHeight="1" x14ac:dyDescent="0.25">
      <c r="B36" s="135" t="s">
        <v>453</v>
      </c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7"/>
      <c r="O36" s="189"/>
      <c r="P36" s="94"/>
      <c r="Q36" s="94"/>
      <c r="R36" s="94"/>
    </row>
    <row r="37" spans="2:18" ht="19.899999999999999" customHeight="1" x14ac:dyDescent="0.25">
      <c r="B37" s="135" t="s">
        <v>454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7"/>
      <c r="O37" s="189"/>
      <c r="P37" s="94"/>
      <c r="Q37" s="94"/>
      <c r="R37" s="94"/>
    </row>
    <row r="38" spans="2:18" ht="19.899999999999999" customHeight="1" x14ac:dyDescent="0.25">
      <c r="B38" s="135" t="s">
        <v>455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7"/>
      <c r="O38" s="189"/>
      <c r="P38" s="94"/>
      <c r="Q38" s="94"/>
      <c r="R38" s="94"/>
    </row>
    <row r="39" spans="2:18" ht="19.899999999999999" customHeight="1" x14ac:dyDescent="0.25">
      <c r="B39" s="135" t="s">
        <v>456</v>
      </c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7"/>
      <c r="O39" s="189"/>
      <c r="P39" s="94"/>
      <c r="Q39" s="94"/>
      <c r="R39" s="94"/>
    </row>
    <row r="40" spans="2:18" ht="19.899999999999999" customHeight="1" x14ac:dyDescent="0.25">
      <c r="B40" s="135" t="s">
        <v>457</v>
      </c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7"/>
      <c r="O40" s="189"/>
      <c r="P40" s="94"/>
      <c r="Q40" s="94"/>
      <c r="R40" s="94"/>
    </row>
    <row r="41" spans="2:18" ht="19.899999999999999" customHeight="1" x14ac:dyDescent="0.25">
      <c r="B41" s="135" t="s">
        <v>458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7"/>
      <c r="O41" s="189"/>
      <c r="P41" s="94"/>
      <c r="Q41" s="94"/>
      <c r="R41" s="94"/>
    </row>
    <row r="42" spans="2:18" ht="19.899999999999999" customHeight="1" x14ac:dyDescent="0.25">
      <c r="B42" s="135" t="s">
        <v>459</v>
      </c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7"/>
      <c r="O42" s="189"/>
      <c r="P42" s="94"/>
      <c r="Q42" s="94"/>
      <c r="R42" s="94"/>
    </row>
    <row r="43" spans="2:18" ht="19.899999999999999" customHeight="1" x14ac:dyDescent="0.25">
      <c r="B43" s="135" t="s">
        <v>460</v>
      </c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7"/>
      <c r="O43" s="189"/>
      <c r="P43" s="94"/>
      <c r="Q43" s="94"/>
      <c r="R43" s="94"/>
    </row>
    <row r="44" spans="2:18" ht="19.899999999999999" customHeight="1" x14ac:dyDescent="0.25">
      <c r="B44" s="135" t="s">
        <v>461</v>
      </c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7"/>
      <c r="O44" s="189"/>
      <c r="P44" s="94"/>
      <c r="Q44" s="94"/>
      <c r="R44" s="94"/>
    </row>
    <row r="45" spans="2:18" ht="19.899999999999999" customHeight="1" x14ac:dyDescent="0.25">
      <c r="B45" s="135" t="s">
        <v>462</v>
      </c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7"/>
      <c r="O45" s="189"/>
      <c r="P45" s="94"/>
      <c r="Q45" s="94"/>
      <c r="R45" s="94"/>
    </row>
    <row r="46" spans="2:18" ht="19.899999999999999" customHeight="1" x14ac:dyDescent="0.25">
      <c r="B46" s="135" t="s">
        <v>463</v>
      </c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7"/>
      <c r="O46" s="189"/>
      <c r="P46" s="94"/>
      <c r="Q46" s="94"/>
      <c r="R46" s="94"/>
    </row>
    <row r="47" spans="2:18" ht="19.899999999999999" customHeight="1" x14ac:dyDescent="0.25">
      <c r="B47" s="135" t="s">
        <v>464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7"/>
      <c r="O47" s="189"/>
      <c r="P47" s="94"/>
      <c r="Q47" s="94"/>
      <c r="R47" s="94"/>
    </row>
    <row r="48" spans="2:18" ht="19.899999999999999" customHeight="1" x14ac:dyDescent="0.25">
      <c r="B48" s="135" t="s">
        <v>465</v>
      </c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7"/>
      <c r="O48" s="189"/>
      <c r="P48" s="94"/>
      <c r="Q48" s="94"/>
      <c r="R48" s="94"/>
    </row>
    <row r="49" spans="2:18" ht="19.899999999999999" customHeight="1" x14ac:dyDescent="0.25">
      <c r="B49" s="135" t="s">
        <v>466</v>
      </c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7"/>
      <c r="O49" s="189"/>
      <c r="P49" s="94"/>
      <c r="Q49" s="94"/>
      <c r="R49" s="94"/>
    </row>
    <row r="50" spans="2:18" ht="19.899999999999999" customHeight="1" x14ac:dyDescent="0.25">
      <c r="B50" s="135" t="s">
        <v>467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7"/>
      <c r="O50" s="189"/>
      <c r="P50" s="94"/>
      <c r="Q50" s="94"/>
      <c r="R50" s="94"/>
    </row>
    <row r="51" spans="2:18" ht="19.899999999999999" customHeight="1" x14ac:dyDescent="0.25">
      <c r="B51" s="135" t="s">
        <v>468</v>
      </c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7"/>
      <c r="O51" s="189"/>
      <c r="P51" s="94"/>
      <c r="Q51" s="94"/>
      <c r="R51" s="94"/>
    </row>
    <row r="52" spans="2:18" ht="19.899999999999999" customHeight="1" x14ac:dyDescent="0.25">
      <c r="B52" s="135" t="s">
        <v>469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7"/>
      <c r="O52" s="189"/>
      <c r="P52" s="94"/>
      <c r="Q52" s="94"/>
      <c r="R52" s="94"/>
    </row>
    <row r="53" spans="2:18" ht="19.899999999999999" customHeight="1" x14ac:dyDescent="0.25">
      <c r="B53" s="135" t="s">
        <v>470</v>
      </c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7"/>
      <c r="O53" s="189"/>
      <c r="P53" s="94"/>
      <c r="Q53" s="94"/>
      <c r="R53" s="94"/>
    </row>
    <row r="54" spans="2:18" ht="19.899999999999999" customHeight="1" x14ac:dyDescent="0.25">
      <c r="B54" s="135" t="s">
        <v>471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7"/>
      <c r="O54" s="189"/>
      <c r="P54" s="94"/>
      <c r="Q54" s="94"/>
      <c r="R54" s="94"/>
    </row>
    <row r="55" spans="2:18" ht="19.899999999999999" customHeight="1" x14ac:dyDescent="0.25">
      <c r="B55" s="135" t="s">
        <v>472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7"/>
      <c r="O55" s="189"/>
      <c r="P55" s="94"/>
      <c r="Q55" s="94"/>
      <c r="R55" s="94"/>
    </row>
    <row r="56" spans="2:18" ht="19.899999999999999" customHeight="1" x14ac:dyDescent="0.25">
      <c r="B56" s="135" t="s">
        <v>473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7"/>
      <c r="O56" s="189"/>
      <c r="P56" s="94"/>
      <c r="Q56" s="94"/>
      <c r="R56" s="94"/>
    </row>
    <row r="57" spans="2:18" ht="19.899999999999999" customHeight="1" x14ac:dyDescent="0.25">
      <c r="B57" s="135" t="s">
        <v>474</v>
      </c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7"/>
      <c r="O57" s="189"/>
      <c r="P57" s="94"/>
      <c r="Q57" s="94"/>
      <c r="R57" s="94"/>
    </row>
    <row r="58" spans="2:18" ht="19.899999999999999" customHeight="1" x14ac:dyDescent="0.25">
      <c r="B58" s="227" t="s">
        <v>240</v>
      </c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7"/>
      <c r="O58" s="189">
        <f>SUM(,O32:R57,O30)</f>
        <v>0</v>
      </c>
      <c r="P58" s="94"/>
      <c r="Q58" s="94"/>
      <c r="R58" s="94"/>
    </row>
    <row r="59" spans="2:18" ht="13.9" customHeight="1" x14ac:dyDescent="0.25">
      <c r="B59" s="50"/>
      <c r="C59" s="40"/>
      <c r="D59" s="40"/>
      <c r="E59" s="40"/>
      <c r="F59" s="40"/>
      <c r="G59" s="40"/>
      <c r="H59" s="40"/>
      <c r="I59" s="40"/>
      <c r="J59" s="51"/>
      <c r="K59" s="51"/>
      <c r="L59" s="51"/>
      <c r="M59" s="51"/>
      <c r="N59" s="51"/>
      <c r="O59" s="51"/>
      <c r="P59" s="51"/>
      <c r="Q59" s="51"/>
      <c r="R59" s="51"/>
    </row>
    <row r="60" spans="2:18" ht="22.9" customHeight="1" x14ac:dyDescent="0.25">
      <c r="B60" s="200" t="s">
        <v>241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</row>
    <row r="61" spans="2:18" ht="22.9" customHeight="1" x14ac:dyDescent="0.25">
      <c r="B61" s="200" t="s">
        <v>242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</row>
    <row r="62" spans="2:18" ht="22.9" customHeight="1" x14ac:dyDescent="0.25">
      <c r="B62" s="230" t="s">
        <v>243</v>
      </c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133"/>
      <c r="O62" s="189"/>
      <c r="P62" s="94"/>
      <c r="Q62" s="94"/>
      <c r="R62" s="94"/>
    </row>
    <row r="63" spans="2:18" ht="22.9" customHeight="1" x14ac:dyDescent="0.25">
      <c r="B63" s="230" t="s">
        <v>239</v>
      </c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133"/>
      <c r="O63" s="236" t="s">
        <v>448</v>
      </c>
      <c r="P63" s="94"/>
      <c r="Q63" s="94"/>
      <c r="R63" s="94"/>
    </row>
    <row r="64" spans="2:18" ht="22.9" customHeight="1" x14ac:dyDescent="0.25">
      <c r="B64" s="130" t="s">
        <v>475</v>
      </c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133"/>
      <c r="O64" s="189"/>
      <c r="P64" s="94"/>
      <c r="Q64" s="94"/>
      <c r="R64" s="94"/>
    </row>
    <row r="65" spans="2:18" ht="31.9" customHeight="1" x14ac:dyDescent="0.25">
      <c r="B65" s="130" t="s">
        <v>476</v>
      </c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133"/>
      <c r="O65" s="189"/>
      <c r="P65" s="94"/>
      <c r="Q65" s="94"/>
      <c r="R65" s="94"/>
    </row>
    <row r="66" spans="2:18" ht="31.9" customHeight="1" x14ac:dyDescent="0.25">
      <c r="B66" s="130" t="s">
        <v>477</v>
      </c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133"/>
      <c r="O66" s="189"/>
      <c r="P66" s="94"/>
      <c r="Q66" s="94"/>
      <c r="R66" s="94"/>
    </row>
    <row r="67" spans="2:18" ht="22.9" customHeight="1" x14ac:dyDescent="0.25">
      <c r="B67" s="130" t="s">
        <v>478</v>
      </c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133"/>
      <c r="O67" s="189"/>
      <c r="P67" s="94"/>
      <c r="Q67" s="94"/>
      <c r="R67" s="94"/>
    </row>
    <row r="68" spans="2:18" ht="22.9" customHeight="1" x14ac:dyDescent="0.25">
      <c r="B68" s="130" t="s">
        <v>479</v>
      </c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133"/>
      <c r="O68" s="189"/>
      <c r="P68" s="94"/>
      <c r="Q68" s="94"/>
      <c r="R68" s="94"/>
    </row>
    <row r="69" spans="2:18" ht="22.9" customHeight="1" x14ac:dyDescent="0.25">
      <c r="B69" s="130" t="s">
        <v>480</v>
      </c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133"/>
      <c r="O69" s="189"/>
      <c r="P69" s="94"/>
      <c r="Q69" s="94"/>
      <c r="R69" s="94"/>
    </row>
    <row r="70" spans="2:18" ht="31.9" customHeight="1" x14ac:dyDescent="0.25">
      <c r="B70" s="130" t="s">
        <v>481</v>
      </c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133"/>
      <c r="O70" s="189"/>
      <c r="P70" s="94"/>
      <c r="Q70" s="94"/>
      <c r="R70" s="94"/>
    </row>
    <row r="71" spans="2:18" ht="31.9" customHeight="1" x14ac:dyDescent="0.25">
      <c r="B71" s="130" t="s">
        <v>482</v>
      </c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133"/>
      <c r="O71" s="189"/>
      <c r="P71" s="94"/>
      <c r="Q71" s="94"/>
      <c r="R71" s="94"/>
    </row>
    <row r="72" spans="2:18" ht="22.9" customHeight="1" x14ac:dyDescent="0.25">
      <c r="B72" s="130" t="s">
        <v>483</v>
      </c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133"/>
      <c r="O72" s="189"/>
      <c r="P72" s="94"/>
      <c r="Q72" s="94"/>
      <c r="R72" s="94"/>
    </row>
    <row r="73" spans="2:18" ht="22.9" customHeight="1" x14ac:dyDescent="0.25">
      <c r="B73" s="130" t="s">
        <v>484</v>
      </c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133"/>
      <c r="O73" s="189"/>
      <c r="P73" s="94"/>
      <c r="Q73" s="94"/>
      <c r="R73" s="94"/>
    </row>
    <row r="74" spans="2:18" ht="22.9" customHeight="1" x14ac:dyDescent="0.25">
      <c r="B74" s="130" t="s">
        <v>485</v>
      </c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133"/>
      <c r="O74" s="189"/>
      <c r="P74" s="94"/>
      <c r="Q74" s="94"/>
      <c r="R74" s="94"/>
    </row>
    <row r="75" spans="2:18" ht="22.9" customHeight="1" x14ac:dyDescent="0.25">
      <c r="B75" s="130" t="s">
        <v>486</v>
      </c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133"/>
      <c r="O75" s="189"/>
      <c r="P75" s="94"/>
      <c r="Q75" s="94"/>
      <c r="R75" s="94"/>
    </row>
    <row r="76" spans="2:18" ht="22.9" customHeight="1" x14ac:dyDescent="0.25">
      <c r="B76" s="130" t="s">
        <v>487</v>
      </c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133"/>
      <c r="O76" s="189"/>
      <c r="P76" s="94"/>
      <c r="Q76" s="94"/>
      <c r="R76" s="94"/>
    </row>
    <row r="77" spans="2:18" ht="22.9" customHeight="1" x14ac:dyDescent="0.25">
      <c r="B77" s="130" t="s">
        <v>488</v>
      </c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133"/>
      <c r="O77" s="189"/>
      <c r="P77" s="94"/>
      <c r="Q77" s="94"/>
      <c r="R77" s="94"/>
    </row>
    <row r="78" spans="2:18" ht="22.9" customHeight="1" x14ac:dyDescent="0.25">
      <c r="B78" s="130" t="s">
        <v>489</v>
      </c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133"/>
      <c r="O78" s="189"/>
      <c r="P78" s="94"/>
      <c r="Q78" s="94"/>
      <c r="R78" s="94"/>
    </row>
    <row r="79" spans="2:18" ht="22.9" customHeight="1" x14ac:dyDescent="0.25">
      <c r="B79" s="130" t="s">
        <v>490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133"/>
      <c r="O79" s="189"/>
      <c r="P79" s="94"/>
      <c r="Q79" s="94"/>
      <c r="R79" s="94"/>
    </row>
    <row r="80" spans="2:18" ht="22.9" customHeight="1" x14ac:dyDescent="0.25">
      <c r="B80" s="130" t="s">
        <v>491</v>
      </c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133"/>
      <c r="O80" s="189">
        <f>O129</f>
        <v>0</v>
      </c>
      <c r="P80" s="94"/>
      <c r="Q80" s="94"/>
      <c r="R80" s="94"/>
    </row>
    <row r="81" spans="1:18" ht="31.15" customHeight="1" x14ac:dyDescent="0.25">
      <c r="B81" s="130" t="s">
        <v>492</v>
      </c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133"/>
      <c r="O81" s="189"/>
      <c r="P81" s="94"/>
      <c r="Q81" s="94"/>
      <c r="R81" s="94"/>
    </row>
    <row r="82" spans="1:18" ht="22.9" customHeight="1" x14ac:dyDescent="0.25">
      <c r="B82" s="130" t="s">
        <v>493</v>
      </c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133"/>
      <c r="O82" s="189"/>
      <c r="P82" s="94"/>
      <c r="Q82" s="94"/>
      <c r="R82" s="94"/>
    </row>
    <row r="83" spans="1:18" ht="22.9" customHeight="1" x14ac:dyDescent="0.25">
      <c r="B83" s="130" t="s">
        <v>494</v>
      </c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133"/>
      <c r="O83" s="189"/>
      <c r="P83" s="94"/>
      <c r="Q83" s="94"/>
      <c r="R83" s="94"/>
    </row>
    <row r="84" spans="1:18" ht="22.9" customHeight="1" x14ac:dyDescent="0.25">
      <c r="B84" s="227" t="s">
        <v>244</v>
      </c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7"/>
      <c r="O84" s="189">
        <f>SUM(O62,O64:R83)</f>
        <v>0</v>
      </c>
      <c r="P84" s="94"/>
      <c r="Q84" s="94"/>
      <c r="R84" s="94"/>
    </row>
    <row r="85" spans="1:18" x14ac:dyDescent="0.25">
      <c r="B85" s="50"/>
      <c r="C85" s="40"/>
      <c r="D85" s="40"/>
      <c r="E85" s="40"/>
      <c r="F85" s="40"/>
      <c r="G85" s="40"/>
      <c r="H85" s="40"/>
      <c r="I85" s="40"/>
      <c r="J85" s="51"/>
      <c r="K85" s="51"/>
      <c r="L85" s="51"/>
      <c r="M85" s="51"/>
      <c r="N85" s="51"/>
      <c r="O85" s="51"/>
      <c r="P85" s="51"/>
      <c r="Q85" s="51"/>
      <c r="R85" s="51"/>
    </row>
    <row r="86" spans="1:18" ht="25.9" customHeight="1" x14ac:dyDescent="0.25">
      <c r="B86" s="152" t="s">
        <v>245</v>
      </c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</row>
    <row r="87" spans="1:18" ht="25.9" customHeight="1" x14ac:dyDescent="0.25">
      <c r="B87" s="135" t="s">
        <v>495</v>
      </c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7"/>
      <c r="O87" s="189"/>
      <c r="P87" s="94"/>
      <c r="Q87" s="94"/>
      <c r="R87" s="94"/>
    </row>
    <row r="88" spans="1:18" ht="25.9" customHeight="1" x14ac:dyDescent="0.25">
      <c r="B88" s="135" t="s">
        <v>496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7"/>
      <c r="O88" s="189"/>
      <c r="P88" s="94"/>
      <c r="Q88" s="94"/>
      <c r="R88" s="94"/>
    </row>
    <row r="89" spans="1:18" ht="25.9" customHeight="1" x14ac:dyDescent="0.25">
      <c r="B89" s="135" t="s">
        <v>497</v>
      </c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7"/>
      <c r="O89" s="189"/>
      <c r="P89" s="94"/>
      <c r="Q89" s="94"/>
      <c r="R89" s="94"/>
    </row>
    <row r="90" spans="1:18" ht="25.9" customHeight="1" x14ac:dyDescent="0.25">
      <c r="B90" s="135" t="s">
        <v>498</v>
      </c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7"/>
      <c r="O90" s="189">
        <f>O87+O88-O89</f>
        <v>0</v>
      </c>
      <c r="P90" s="94"/>
      <c r="Q90" s="94"/>
      <c r="R90" s="94"/>
    </row>
    <row r="91" spans="1:18" ht="4.9000000000000004" customHeight="1" x14ac:dyDescent="0.3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</row>
    <row r="92" spans="1:18" ht="25.9" customHeight="1" x14ac:dyDescent="0.25">
      <c r="B92" s="152" t="s">
        <v>246</v>
      </c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</row>
    <row r="93" spans="1:18" ht="25.9" customHeight="1" x14ac:dyDescent="0.25">
      <c r="A93" s="26" t="str">
        <f>_xlfn.CONCAT(MAX($A$1:A92),"-1")</f>
        <v>1-1</v>
      </c>
      <c r="B93" s="222" t="s">
        <v>499</v>
      </c>
      <c r="C93" s="94"/>
      <c r="D93" s="97"/>
      <c r="E93" s="228" t="s">
        <v>500</v>
      </c>
      <c r="F93" s="94"/>
      <c r="G93" s="94"/>
      <c r="H93" s="94"/>
      <c r="I93" s="97"/>
      <c r="J93" s="190" t="s">
        <v>501</v>
      </c>
      <c r="K93" s="94"/>
      <c r="L93" s="94"/>
      <c r="M93" s="94"/>
      <c r="N93" s="94"/>
      <c r="O93" s="94"/>
      <c r="P93" s="94"/>
      <c r="Q93" s="94"/>
      <c r="R93" s="94"/>
    </row>
    <row r="94" spans="1:18" ht="25.9" customHeight="1" x14ac:dyDescent="0.25">
      <c r="B94" s="190"/>
      <c r="C94" s="94"/>
      <c r="D94" s="97"/>
      <c r="E94" s="99"/>
      <c r="F94" s="94"/>
      <c r="G94" s="94"/>
      <c r="H94" s="94"/>
      <c r="I94" s="97"/>
      <c r="J94" s="189"/>
      <c r="K94" s="94"/>
      <c r="L94" s="94"/>
      <c r="M94" s="94"/>
      <c r="N94" s="94"/>
      <c r="O94" s="94"/>
      <c r="P94" s="94"/>
      <c r="Q94" s="94"/>
      <c r="R94" s="94"/>
    </row>
    <row r="95" spans="1:18" ht="25.9" customHeight="1" x14ac:dyDescent="0.25">
      <c r="B95" s="190"/>
      <c r="C95" s="94"/>
      <c r="D95" s="97"/>
      <c r="E95" s="99"/>
      <c r="F95" s="94"/>
      <c r="G95" s="94"/>
      <c r="H95" s="94"/>
      <c r="I95" s="97"/>
      <c r="J95" s="189"/>
      <c r="K95" s="94"/>
      <c r="L95" s="94"/>
      <c r="M95" s="94"/>
      <c r="N95" s="94"/>
      <c r="O95" s="94"/>
      <c r="P95" s="94"/>
      <c r="Q95" s="94"/>
      <c r="R95" s="94"/>
    </row>
    <row r="96" spans="1:18" ht="25.9" customHeight="1" x14ac:dyDescent="0.25">
      <c r="A96" s="26" t="str">
        <f>_xlfn.CONCAT(MAX($A$1:A91),"-2")</f>
        <v>1-2</v>
      </c>
      <c r="B96" s="235" t="s">
        <v>423</v>
      </c>
      <c r="C96" s="94"/>
      <c r="D96" s="94"/>
      <c r="E96" s="94"/>
      <c r="F96" s="94"/>
      <c r="G96" s="94"/>
      <c r="H96" s="94"/>
      <c r="I96" s="97"/>
      <c r="J96" s="189"/>
      <c r="K96" s="94"/>
      <c r="L96" s="94"/>
      <c r="M96" s="94"/>
      <c r="N96" s="94"/>
      <c r="O96" s="94"/>
      <c r="P96" s="94"/>
      <c r="Q96" s="94"/>
      <c r="R96" s="94"/>
    </row>
    <row r="97" spans="2:18" x14ac:dyDescent="0.3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</row>
    <row r="98" spans="2:18" ht="25.9" customHeight="1" x14ac:dyDescent="0.25">
      <c r="B98" s="200" t="s">
        <v>247</v>
      </c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</row>
    <row r="99" spans="2:18" ht="25.9" customHeight="1" x14ac:dyDescent="0.25">
      <c r="B99" s="200" t="s">
        <v>248</v>
      </c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</row>
    <row r="100" spans="2:18" ht="25.9" customHeight="1" x14ac:dyDescent="0.25">
      <c r="B100" s="200" t="s">
        <v>249</v>
      </c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</row>
    <row r="101" spans="2:18" ht="25.9" customHeight="1" x14ac:dyDescent="0.25">
      <c r="B101" s="234" t="s">
        <v>502</v>
      </c>
      <c r="C101" s="95"/>
      <c r="D101" s="133"/>
      <c r="E101" s="232" t="s">
        <v>503</v>
      </c>
      <c r="F101" s="95"/>
      <c r="G101" s="95"/>
      <c r="H101" s="95"/>
      <c r="I101" s="95"/>
      <c r="J101" s="95"/>
      <c r="K101" s="95"/>
      <c r="L101" s="95"/>
      <c r="M101" s="95"/>
      <c r="N101" s="133"/>
      <c r="O101" s="208"/>
      <c r="P101" s="95"/>
      <c r="Q101" s="95"/>
      <c r="R101" s="95"/>
    </row>
    <row r="102" spans="2:18" ht="25.9" customHeight="1" x14ac:dyDescent="0.25">
      <c r="B102" s="136"/>
      <c r="C102" s="136"/>
      <c r="D102" s="137"/>
      <c r="E102" s="232" t="s">
        <v>504</v>
      </c>
      <c r="F102" s="95"/>
      <c r="G102" s="95"/>
      <c r="H102" s="95"/>
      <c r="I102" s="95"/>
      <c r="J102" s="95"/>
      <c r="K102" s="95"/>
      <c r="L102" s="95"/>
      <c r="M102" s="95"/>
      <c r="N102" s="133"/>
      <c r="O102" s="208"/>
      <c r="P102" s="95"/>
      <c r="Q102" s="95"/>
      <c r="R102" s="95"/>
    </row>
    <row r="103" spans="2:18" ht="25.9" customHeight="1" x14ac:dyDescent="0.25">
      <c r="B103" s="136"/>
      <c r="C103" s="136"/>
      <c r="D103" s="137"/>
      <c r="E103" s="232" t="s">
        <v>505</v>
      </c>
      <c r="F103" s="95"/>
      <c r="G103" s="95"/>
      <c r="H103" s="95"/>
      <c r="I103" s="95"/>
      <c r="J103" s="95"/>
      <c r="K103" s="95"/>
      <c r="L103" s="95"/>
      <c r="M103" s="95"/>
      <c r="N103" s="133"/>
      <c r="O103" s="208"/>
      <c r="P103" s="95"/>
      <c r="Q103" s="95"/>
      <c r="R103" s="95"/>
    </row>
    <row r="104" spans="2:18" ht="25.9" customHeight="1" x14ac:dyDescent="0.25">
      <c r="B104" s="114"/>
      <c r="C104" s="114"/>
      <c r="D104" s="134"/>
      <c r="E104" s="233" t="s">
        <v>506</v>
      </c>
      <c r="F104" s="94"/>
      <c r="G104" s="94"/>
      <c r="H104" s="94"/>
      <c r="I104" s="94"/>
      <c r="J104" s="94"/>
      <c r="K104" s="94"/>
      <c r="L104" s="94"/>
      <c r="M104" s="94"/>
      <c r="N104" s="97"/>
      <c r="O104" s="208">
        <f>O101-O102+O103</f>
        <v>0</v>
      </c>
      <c r="P104" s="95"/>
      <c r="Q104" s="95"/>
      <c r="R104" s="95"/>
    </row>
    <row r="105" spans="2:18" ht="25.9" customHeight="1" x14ac:dyDescent="0.25">
      <c r="B105" s="135" t="s">
        <v>507</v>
      </c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7"/>
      <c r="O105" s="208">
        <f>O80</f>
        <v>0</v>
      </c>
      <c r="P105" s="95"/>
      <c r="Q105" s="95"/>
      <c r="R105" s="95"/>
    </row>
    <row r="106" spans="2:18" ht="25.9" customHeight="1" x14ac:dyDescent="0.25">
      <c r="B106" s="231" t="s">
        <v>508</v>
      </c>
      <c r="C106" s="95"/>
      <c r="D106" s="133"/>
      <c r="E106" s="232" t="s">
        <v>509</v>
      </c>
      <c r="F106" s="95"/>
      <c r="G106" s="95"/>
      <c r="H106" s="95"/>
      <c r="I106" s="95"/>
      <c r="J106" s="95"/>
      <c r="K106" s="95"/>
      <c r="L106" s="95"/>
      <c r="M106" s="95"/>
      <c r="N106" s="133"/>
      <c r="O106" s="208">
        <f>O104+O105</f>
        <v>0</v>
      </c>
      <c r="P106" s="95"/>
      <c r="Q106" s="95"/>
      <c r="R106" s="95"/>
    </row>
    <row r="107" spans="2:18" ht="25.9" customHeight="1" x14ac:dyDescent="0.25">
      <c r="B107" s="136"/>
      <c r="C107" s="136"/>
      <c r="D107" s="137"/>
      <c r="E107" s="232" t="s">
        <v>510</v>
      </c>
      <c r="F107" s="95"/>
      <c r="G107" s="95"/>
      <c r="H107" s="95"/>
      <c r="I107" s="95"/>
      <c r="J107" s="95"/>
      <c r="K107" s="95"/>
      <c r="L107" s="95"/>
      <c r="M107" s="95"/>
      <c r="N107" s="133"/>
      <c r="O107" s="208"/>
      <c r="P107" s="95"/>
      <c r="Q107" s="95"/>
      <c r="R107" s="95"/>
    </row>
    <row r="108" spans="2:18" ht="25.9" customHeight="1" x14ac:dyDescent="0.25">
      <c r="B108" s="114"/>
      <c r="C108" s="114"/>
      <c r="D108" s="134"/>
      <c r="E108" s="233" t="s">
        <v>511</v>
      </c>
      <c r="F108" s="94"/>
      <c r="G108" s="94"/>
      <c r="H108" s="94"/>
      <c r="I108" s="94"/>
      <c r="J108" s="94"/>
      <c r="K108" s="94"/>
      <c r="L108" s="94"/>
      <c r="M108" s="94"/>
      <c r="N108" s="97"/>
      <c r="O108" s="208"/>
      <c r="P108" s="95"/>
      <c r="Q108" s="95"/>
      <c r="R108" s="95"/>
    </row>
    <row r="109" spans="2:18" ht="25.9" customHeight="1" x14ac:dyDescent="0.25">
      <c r="B109" s="135" t="s">
        <v>512</v>
      </c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7"/>
      <c r="O109" s="178">
        <f>O106+O107-O108</f>
        <v>0</v>
      </c>
      <c r="P109" s="94"/>
      <c r="Q109" s="94"/>
      <c r="R109" s="94"/>
    </row>
    <row r="110" spans="2:18" x14ac:dyDescent="0.3"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</row>
    <row r="111" spans="2:18" ht="31.9" customHeight="1" x14ac:dyDescent="0.25">
      <c r="B111" s="200" t="s">
        <v>250</v>
      </c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</row>
    <row r="112" spans="2:18" ht="31.9" customHeight="1" x14ac:dyDescent="0.25">
      <c r="B112" s="230" t="s">
        <v>251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33"/>
      <c r="O112" s="213" t="s">
        <v>448</v>
      </c>
      <c r="P112" s="95"/>
      <c r="Q112" s="95"/>
      <c r="R112" s="95"/>
    </row>
    <row r="113" spans="2:18" ht="31.9" customHeight="1" x14ac:dyDescent="0.25">
      <c r="B113" s="207" t="s">
        <v>513</v>
      </c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133"/>
      <c r="O113" s="208"/>
      <c r="P113" s="95"/>
      <c r="Q113" s="95"/>
      <c r="R113" s="95"/>
    </row>
    <row r="114" spans="2:18" ht="31.9" customHeight="1" x14ac:dyDescent="0.25">
      <c r="B114" s="207" t="s">
        <v>514</v>
      </c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133"/>
      <c r="O114" s="208"/>
      <c r="P114" s="95"/>
      <c r="Q114" s="95"/>
      <c r="R114" s="95"/>
    </row>
    <row r="115" spans="2:18" ht="31.9" customHeight="1" x14ac:dyDescent="0.25">
      <c r="B115" s="207" t="s">
        <v>515</v>
      </c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133"/>
      <c r="O115" s="208"/>
      <c r="P115" s="95"/>
      <c r="Q115" s="95"/>
      <c r="R115" s="95"/>
    </row>
    <row r="116" spans="2:18" ht="31.9" customHeight="1" x14ac:dyDescent="0.25">
      <c r="B116" s="207" t="s">
        <v>516</v>
      </c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133"/>
      <c r="O116" s="208"/>
      <c r="P116" s="95"/>
      <c r="Q116" s="95"/>
      <c r="R116" s="95"/>
    </row>
    <row r="117" spans="2:18" ht="31.9" customHeight="1" x14ac:dyDescent="0.25">
      <c r="B117" s="207" t="s">
        <v>517</v>
      </c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133"/>
      <c r="O117" s="208"/>
      <c r="P117" s="95"/>
      <c r="Q117" s="95"/>
      <c r="R117" s="95"/>
    </row>
    <row r="118" spans="2:18" ht="31.9" customHeight="1" x14ac:dyDescent="0.25">
      <c r="B118" s="207" t="s">
        <v>518</v>
      </c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133"/>
      <c r="O118" s="208"/>
      <c r="P118" s="95"/>
      <c r="Q118" s="95"/>
      <c r="R118" s="95"/>
    </row>
    <row r="119" spans="2:18" ht="31.9" customHeight="1" x14ac:dyDescent="0.25">
      <c r="B119" s="207" t="s">
        <v>519</v>
      </c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133"/>
      <c r="O119" s="208"/>
      <c r="P119" s="95"/>
      <c r="Q119" s="95"/>
      <c r="R119" s="95"/>
    </row>
    <row r="120" spans="2:18" ht="31.9" customHeight="1" x14ac:dyDescent="0.25">
      <c r="B120" s="207" t="s">
        <v>520</v>
      </c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133"/>
      <c r="O120" s="208"/>
      <c r="P120" s="95"/>
      <c r="Q120" s="95"/>
      <c r="R120" s="95"/>
    </row>
    <row r="121" spans="2:18" ht="31.9" customHeight="1" x14ac:dyDescent="0.25">
      <c r="B121" s="207" t="s">
        <v>521</v>
      </c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133"/>
      <c r="O121" s="208"/>
      <c r="P121" s="95"/>
      <c r="Q121" s="95"/>
      <c r="R121" s="95"/>
    </row>
    <row r="122" spans="2:18" ht="31.9" customHeight="1" x14ac:dyDescent="0.25">
      <c r="B122" s="207" t="s">
        <v>522</v>
      </c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133"/>
      <c r="O122" s="208"/>
      <c r="P122" s="95"/>
      <c r="Q122" s="95"/>
      <c r="R122" s="95"/>
    </row>
    <row r="123" spans="2:18" ht="31.9" customHeight="1" x14ac:dyDescent="0.25">
      <c r="B123" s="207" t="s">
        <v>523</v>
      </c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133"/>
      <c r="O123" s="208"/>
      <c r="P123" s="95"/>
      <c r="Q123" s="95"/>
      <c r="R123" s="95"/>
    </row>
    <row r="124" spans="2:18" ht="31.9" customHeight="1" x14ac:dyDescent="0.25">
      <c r="B124" s="207" t="s">
        <v>524</v>
      </c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133"/>
      <c r="O124" s="208"/>
      <c r="P124" s="95"/>
      <c r="Q124" s="95"/>
      <c r="R124" s="95"/>
    </row>
    <row r="125" spans="2:18" ht="31.9" customHeight="1" x14ac:dyDescent="0.25">
      <c r="B125" s="207" t="s">
        <v>525</v>
      </c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133"/>
      <c r="O125" s="208"/>
      <c r="P125" s="95"/>
      <c r="Q125" s="95"/>
      <c r="R125" s="95"/>
    </row>
    <row r="126" spans="2:18" ht="31.9" customHeight="1" x14ac:dyDescent="0.25">
      <c r="B126" s="207" t="s">
        <v>526</v>
      </c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133"/>
      <c r="O126" s="178"/>
      <c r="P126" s="94"/>
      <c r="Q126" s="94"/>
      <c r="R126" s="94"/>
    </row>
    <row r="127" spans="2:18" ht="31.9" customHeight="1" x14ac:dyDescent="0.25">
      <c r="B127" s="207" t="s">
        <v>527</v>
      </c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133"/>
      <c r="O127" s="229"/>
      <c r="P127" s="101"/>
      <c r="Q127" s="101"/>
      <c r="R127" s="101"/>
    </row>
    <row r="128" spans="2:18" ht="31.9" customHeight="1" x14ac:dyDescent="0.25">
      <c r="B128" s="207" t="s">
        <v>528</v>
      </c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133"/>
      <c r="O128" s="208"/>
      <c r="P128" s="95"/>
      <c r="Q128" s="95"/>
      <c r="R128" s="95"/>
    </row>
    <row r="129" spans="1:19" ht="31.9" customHeight="1" x14ac:dyDescent="0.25">
      <c r="B129" s="227" t="s">
        <v>252</v>
      </c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7"/>
      <c r="O129" s="189">
        <f>SUM(O113:R128)</f>
        <v>0</v>
      </c>
      <c r="P129" s="94"/>
      <c r="Q129" s="94"/>
      <c r="R129" s="94"/>
    </row>
    <row r="130" spans="1:19" x14ac:dyDescent="0.3"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</row>
    <row r="131" spans="1:19" ht="31.9" customHeight="1" x14ac:dyDescent="0.25">
      <c r="B131" s="200" t="s">
        <v>253</v>
      </c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</row>
    <row r="132" spans="1:19" ht="31.9" customHeight="1" x14ac:dyDescent="0.25">
      <c r="A132" s="26" t="str">
        <f>_xlfn.CONCAT(MAX($A$1:A131),"-3")</f>
        <v>1-3</v>
      </c>
      <c r="B132" s="222" t="s">
        <v>801</v>
      </c>
      <c r="C132" s="191"/>
      <c r="D132" s="191"/>
      <c r="E132" s="225"/>
      <c r="F132" s="228" t="s">
        <v>529</v>
      </c>
      <c r="G132" s="94"/>
      <c r="H132" s="94"/>
      <c r="I132" s="94"/>
      <c r="J132" s="94"/>
      <c r="K132" s="94"/>
      <c r="L132" s="97"/>
      <c r="M132" s="190" t="s">
        <v>530</v>
      </c>
      <c r="N132" s="94"/>
      <c r="O132" s="94"/>
      <c r="P132" s="94"/>
      <c r="Q132" s="94"/>
      <c r="R132" s="94"/>
    </row>
    <row r="133" spans="1:19" ht="31.9" customHeight="1" x14ac:dyDescent="0.25">
      <c r="B133" s="226"/>
      <c r="C133" s="94"/>
      <c r="D133" s="94"/>
      <c r="E133" s="97"/>
      <c r="F133" s="178"/>
      <c r="G133" s="94"/>
      <c r="H133" s="94"/>
      <c r="I133" s="94"/>
      <c r="J133" s="94"/>
      <c r="K133" s="94"/>
      <c r="L133" s="97"/>
      <c r="M133" s="189"/>
      <c r="N133" s="94"/>
      <c r="O133" s="94"/>
      <c r="P133" s="94"/>
      <c r="Q133" s="94"/>
      <c r="R133" s="94"/>
    </row>
    <row r="134" spans="1:19" ht="31.9" customHeight="1" x14ac:dyDescent="0.25">
      <c r="B134" s="226"/>
      <c r="C134" s="94"/>
      <c r="D134" s="94"/>
      <c r="E134" s="97"/>
      <c r="F134" s="178"/>
      <c r="G134" s="94"/>
      <c r="H134" s="94"/>
      <c r="I134" s="94"/>
      <c r="J134" s="94"/>
      <c r="K134" s="94"/>
      <c r="L134" s="97"/>
      <c r="M134" s="189"/>
      <c r="N134" s="94"/>
      <c r="O134" s="94"/>
      <c r="P134" s="94"/>
      <c r="Q134" s="94"/>
      <c r="R134" s="94"/>
    </row>
    <row r="135" spans="1:19" ht="31.9" customHeight="1" x14ac:dyDescent="0.25">
      <c r="B135" s="226"/>
      <c r="C135" s="94"/>
      <c r="D135" s="94"/>
      <c r="E135" s="97"/>
      <c r="F135" s="178"/>
      <c r="G135" s="94"/>
      <c r="H135" s="94"/>
      <c r="I135" s="94"/>
      <c r="J135" s="94"/>
      <c r="K135" s="94"/>
      <c r="L135" s="97"/>
      <c r="M135" s="189"/>
      <c r="N135" s="94"/>
      <c r="O135" s="94"/>
      <c r="P135" s="94"/>
      <c r="Q135" s="94"/>
      <c r="R135" s="94"/>
    </row>
    <row r="136" spans="1:19" ht="31.9" customHeight="1" x14ac:dyDescent="0.25">
      <c r="B136" s="226"/>
      <c r="C136" s="94"/>
      <c r="D136" s="94"/>
      <c r="E136" s="97"/>
      <c r="F136" s="178"/>
      <c r="G136" s="94"/>
      <c r="H136" s="94"/>
      <c r="I136" s="94"/>
      <c r="J136" s="94"/>
      <c r="K136" s="94"/>
      <c r="L136" s="97"/>
      <c r="M136" s="189"/>
      <c r="N136" s="94"/>
      <c r="O136" s="94"/>
      <c r="P136" s="94"/>
      <c r="Q136" s="94"/>
      <c r="R136" s="94"/>
    </row>
    <row r="137" spans="1:19" ht="31.9" customHeight="1" x14ac:dyDescent="0.25">
      <c r="A137" s="26" t="str">
        <f>_xlfn.CONCAT(MAX($A$1:A135),"-4")</f>
        <v>1-4</v>
      </c>
      <c r="B137" s="222" t="s">
        <v>802</v>
      </c>
      <c r="C137" s="191"/>
      <c r="D137" s="191"/>
      <c r="E137" s="225"/>
      <c r="F137" s="178"/>
      <c r="G137" s="94"/>
      <c r="H137" s="94"/>
      <c r="I137" s="94"/>
      <c r="J137" s="94"/>
      <c r="K137" s="94"/>
      <c r="L137" s="97"/>
      <c r="M137" s="189"/>
      <c r="N137" s="94"/>
      <c r="O137" s="94"/>
      <c r="P137" s="94"/>
      <c r="Q137" s="94"/>
      <c r="R137" s="94"/>
    </row>
    <row r="138" spans="1:19" ht="4.9000000000000004" customHeight="1" x14ac:dyDescent="0.3"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</row>
    <row r="139" spans="1:19" ht="31.9" customHeight="1" x14ac:dyDescent="0.25">
      <c r="B139" s="200" t="s">
        <v>254</v>
      </c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14"/>
    </row>
    <row r="140" spans="1:19" ht="31.9" customHeight="1" x14ac:dyDescent="0.25">
      <c r="B140" s="200" t="s">
        <v>255</v>
      </c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</row>
    <row r="141" spans="1:19" ht="31.9" customHeight="1" x14ac:dyDescent="0.25">
      <c r="B141" s="150" t="s">
        <v>531</v>
      </c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7"/>
      <c r="O141" s="208"/>
      <c r="P141" s="95"/>
      <c r="Q141" s="95"/>
      <c r="R141" s="95"/>
    </row>
    <row r="142" spans="1:19" ht="31.9" customHeight="1" x14ac:dyDescent="0.25">
      <c r="B142" s="150" t="s">
        <v>803</v>
      </c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7"/>
      <c r="O142" s="208"/>
      <c r="P142" s="95"/>
      <c r="Q142" s="95"/>
      <c r="R142" s="95"/>
    </row>
    <row r="143" spans="1:19" ht="31.9" customHeight="1" x14ac:dyDescent="0.25">
      <c r="B143" s="150" t="s">
        <v>532</v>
      </c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7"/>
      <c r="O143" s="208"/>
      <c r="P143" s="95"/>
      <c r="Q143" s="95"/>
      <c r="R143" s="95"/>
    </row>
    <row r="144" spans="1:19" ht="31.9" customHeight="1" x14ac:dyDescent="0.25">
      <c r="B144" s="200" t="s">
        <v>256</v>
      </c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</row>
    <row r="145" spans="2:18" ht="31.9" customHeight="1" x14ac:dyDescent="0.25">
      <c r="B145" s="224" t="s">
        <v>533</v>
      </c>
      <c r="C145" s="94"/>
      <c r="D145" s="94"/>
      <c r="E145" s="94"/>
      <c r="F145" s="94"/>
      <c r="G145" s="94"/>
      <c r="H145" s="94"/>
      <c r="I145" s="97"/>
      <c r="J145" s="98" t="s">
        <v>534</v>
      </c>
      <c r="K145" s="94"/>
      <c r="L145" s="94"/>
      <c r="M145" s="97"/>
      <c r="N145" s="99" t="s">
        <v>535</v>
      </c>
      <c r="O145" s="94"/>
      <c r="P145" s="94"/>
      <c r="Q145" s="94"/>
      <c r="R145" s="94"/>
    </row>
    <row r="146" spans="2:18" ht="31.9" customHeight="1" x14ac:dyDescent="0.25">
      <c r="B146" s="223" t="s">
        <v>536</v>
      </c>
      <c r="C146" s="94"/>
      <c r="D146" s="94"/>
      <c r="E146" s="94"/>
      <c r="F146" s="94"/>
      <c r="G146" s="94"/>
      <c r="H146" s="94"/>
      <c r="I146" s="97"/>
      <c r="J146" s="177"/>
      <c r="K146" s="94"/>
      <c r="L146" s="94"/>
      <c r="M146" s="97"/>
      <c r="N146" s="178"/>
      <c r="O146" s="94"/>
      <c r="P146" s="94"/>
      <c r="Q146" s="94"/>
      <c r="R146" s="94"/>
    </row>
    <row r="147" spans="2:18" ht="31.9" customHeight="1" x14ac:dyDescent="0.25">
      <c r="B147" s="223" t="s">
        <v>537</v>
      </c>
      <c r="C147" s="94"/>
      <c r="D147" s="94"/>
      <c r="E147" s="94"/>
      <c r="F147" s="94"/>
      <c r="G147" s="94"/>
      <c r="H147" s="94"/>
      <c r="I147" s="97"/>
      <c r="J147" s="177"/>
      <c r="K147" s="94"/>
      <c r="L147" s="94"/>
      <c r="M147" s="97"/>
      <c r="N147" s="178"/>
      <c r="O147" s="94"/>
      <c r="P147" s="94"/>
      <c r="Q147" s="94"/>
      <c r="R147" s="94"/>
    </row>
    <row r="148" spans="2:18" ht="31.9" customHeight="1" x14ac:dyDescent="0.25">
      <c r="B148" s="223" t="s">
        <v>538</v>
      </c>
      <c r="C148" s="94"/>
      <c r="D148" s="94"/>
      <c r="E148" s="94"/>
      <c r="F148" s="94"/>
      <c r="G148" s="94"/>
      <c r="H148" s="94"/>
      <c r="I148" s="97"/>
      <c r="J148" s="177"/>
      <c r="K148" s="94"/>
      <c r="L148" s="94"/>
      <c r="M148" s="97"/>
      <c r="N148" s="178"/>
      <c r="O148" s="94"/>
      <c r="P148" s="94"/>
      <c r="Q148" s="94"/>
      <c r="R148" s="94"/>
    </row>
    <row r="149" spans="2:18" x14ac:dyDescent="0.3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</row>
    <row r="150" spans="2:18" ht="34.9" customHeight="1" x14ac:dyDescent="0.25">
      <c r="B150" s="200" t="s">
        <v>257</v>
      </c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</row>
    <row r="151" spans="2:18" ht="34.9" customHeight="1" x14ac:dyDescent="0.25">
      <c r="B151" s="130" t="s">
        <v>539</v>
      </c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</row>
    <row r="152" spans="2:18" ht="34.9" customHeight="1" x14ac:dyDescent="0.25">
      <c r="B152" s="200" t="s">
        <v>258</v>
      </c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</row>
    <row r="153" spans="2:18" ht="34.9" customHeight="1" x14ac:dyDescent="0.25">
      <c r="B153" s="132" t="s">
        <v>540</v>
      </c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</row>
    <row r="154" spans="2:18" ht="34.9" customHeight="1" x14ac:dyDescent="0.25">
      <c r="B154" s="222" t="s">
        <v>541</v>
      </c>
      <c r="C154" s="94"/>
      <c r="D154" s="94"/>
      <c r="E154" s="94"/>
      <c r="F154" s="94"/>
      <c r="G154" s="94"/>
      <c r="H154" s="94"/>
      <c r="I154" s="94"/>
      <c r="J154" s="97"/>
      <c r="K154" s="132" t="s">
        <v>542</v>
      </c>
      <c r="L154" s="95"/>
      <c r="M154" s="95"/>
      <c r="N154" s="95"/>
      <c r="O154" s="95"/>
      <c r="P154" s="95"/>
      <c r="Q154" s="95"/>
      <c r="R154" s="95"/>
    </row>
    <row r="155" spans="2:18" ht="34.9" customHeight="1" x14ac:dyDescent="0.25">
      <c r="B155" s="189"/>
      <c r="C155" s="94"/>
      <c r="D155" s="94"/>
      <c r="E155" s="94"/>
      <c r="F155" s="94"/>
      <c r="G155" s="94"/>
      <c r="H155" s="94"/>
      <c r="I155" s="94"/>
      <c r="J155" s="97"/>
      <c r="K155" s="189"/>
      <c r="L155" s="94"/>
      <c r="M155" s="94"/>
      <c r="N155" s="94"/>
      <c r="O155" s="94"/>
      <c r="P155" s="94"/>
      <c r="Q155" s="94"/>
      <c r="R155" s="94"/>
    </row>
    <row r="156" spans="2:18" ht="4.9000000000000004" customHeight="1" x14ac:dyDescent="0.3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</row>
    <row r="157" spans="2:18" ht="34.9" customHeight="1" x14ac:dyDescent="0.25">
      <c r="B157" s="190" t="s">
        <v>543</v>
      </c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</row>
    <row r="158" spans="2:18" ht="28.15" customHeight="1" x14ac:dyDescent="0.25">
      <c r="B158" s="102" t="s">
        <v>804</v>
      </c>
      <c r="C158" s="103"/>
      <c r="D158" s="103"/>
      <c r="E158" s="104"/>
      <c r="F158" s="105" t="s">
        <v>544</v>
      </c>
      <c r="G158" s="103"/>
      <c r="H158" s="103"/>
      <c r="I158" s="103"/>
      <c r="J158" s="104"/>
      <c r="K158" s="216" t="s">
        <v>805</v>
      </c>
      <c r="L158" s="217"/>
      <c r="M158" s="217"/>
      <c r="N158" s="218"/>
      <c r="O158" s="99" t="s">
        <v>545</v>
      </c>
      <c r="P158" s="94"/>
      <c r="Q158" s="94"/>
      <c r="R158" s="94"/>
    </row>
    <row r="159" spans="2:18" ht="34.9" customHeight="1" x14ac:dyDescent="0.25">
      <c r="B159" s="219"/>
      <c r="C159" s="116"/>
      <c r="D159" s="116"/>
      <c r="E159" s="117"/>
      <c r="F159" s="220"/>
      <c r="G159" s="116"/>
      <c r="H159" s="116"/>
      <c r="I159" s="116"/>
      <c r="J159" s="117"/>
      <c r="K159" s="220"/>
      <c r="L159" s="116"/>
      <c r="M159" s="116"/>
      <c r="N159" s="221"/>
      <c r="O159" s="178"/>
      <c r="P159" s="94"/>
      <c r="Q159" s="94"/>
      <c r="R159" s="94"/>
    </row>
    <row r="160" spans="2:18" ht="4.9000000000000004" customHeight="1" x14ac:dyDescent="0.3"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</row>
    <row r="161" spans="1:18" ht="34.9" customHeight="1" x14ac:dyDescent="0.25">
      <c r="B161" s="152" t="s">
        <v>259</v>
      </c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</row>
    <row r="162" spans="1:18" ht="28.15" customHeight="1" x14ac:dyDescent="0.25">
      <c r="A162" s="26" t="str">
        <f>_xlfn.CONCAT(MAX($A$1:A161),"-5")</f>
        <v>1-5</v>
      </c>
      <c r="B162" s="184" t="s">
        <v>806</v>
      </c>
      <c r="C162" s="134"/>
      <c r="D162" s="185" t="s">
        <v>546</v>
      </c>
      <c r="E162" s="114"/>
      <c r="F162" s="114"/>
      <c r="G162" s="134"/>
      <c r="H162" s="185" t="s">
        <v>547</v>
      </c>
      <c r="I162" s="114"/>
      <c r="J162" s="134"/>
      <c r="K162" s="185" t="s">
        <v>548</v>
      </c>
      <c r="L162" s="114"/>
      <c r="M162" s="134"/>
      <c r="N162" s="113" t="s">
        <v>549</v>
      </c>
      <c r="O162" s="114"/>
      <c r="P162" s="114"/>
      <c r="Q162" s="114"/>
      <c r="R162" s="114"/>
    </row>
    <row r="163" spans="1:18" ht="34.9" customHeight="1" x14ac:dyDescent="0.25">
      <c r="B163" s="96"/>
      <c r="C163" s="97"/>
      <c r="D163" s="177"/>
      <c r="E163" s="94"/>
      <c r="F163" s="94"/>
      <c r="G163" s="97"/>
      <c r="H163" s="177"/>
      <c r="I163" s="94"/>
      <c r="J163" s="97"/>
      <c r="K163" s="177"/>
      <c r="L163" s="94"/>
      <c r="M163" s="97"/>
      <c r="N163" s="178"/>
      <c r="O163" s="94"/>
      <c r="P163" s="94"/>
      <c r="Q163" s="94"/>
      <c r="R163" s="94"/>
    </row>
    <row r="164" spans="1:18" ht="34.9" customHeight="1" x14ac:dyDescent="0.25">
      <c r="B164" s="96"/>
      <c r="C164" s="97"/>
      <c r="D164" s="177"/>
      <c r="E164" s="94"/>
      <c r="F164" s="94"/>
      <c r="G164" s="97"/>
      <c r="H164" s="177"/>
      <c r="I164" s="94"/>
      <c r="J164" s="97"/>
      <c r="K164" s="177"/>
      <c r="L164" s="94"/>
      <c r="M164" s="97"/>
      <c r="N164" s="178"/>
      <c r="O164" s="94"/>
      <c r="P164" s="94"/>
      <c r="Q164" s="94"/>
      <c r="R164" s="94"/>
    </row>
    <row r="165" spans="1:18" ht="34.9" customHeight="1" x14ac:dyDescent="0.25">
      <c r="B165" s="96"/>
      <c r="C165" s="97"/>
      <c r="D165" s="177"/>
      <c r="E165" s="94"/>
      <c r="F165" s="94"/>
      <c r="G165" s="97"/>
      <c r="H165" s="177"/>
      <c r="I165" s="94"/>
      <c r="J165" s="97"/>
      <c r="K165" s="177"/>
      <c r="L165" s="94"/>
      <c r="M165" s="97"/>
      <c r="N165" s="178"/>
      <c r="O165" s="94"/>
      <c r="P165" s="94"/>
      <c r="Q165" s="94"/>
      <c r="R165" s="94"/>
    </row>
    <row r="166" spans="1:18" ht="34.9" customHeight="1" x14ac:dyDescent="0.25">
      <c r="B166" s="96"/>
      <c r="C166" s="97"/>
      <c r="D166" s="177"/>
      <c r="E166" s="94"/>
      <c r="F166" s="94"/>
      <c r="G166" s="97"/>
      <c r="H166" s="177"/>
      <c r="I166" s="94"/>
      <c r="J166" s="97"/>
      <c r="K166" s="177"/>
      <c r="L166" s="94"/>
      <c r="M166" s="97"/>
      <c r="N166" s="178"/>
      <c r="O166" s="94"/>
      <c r="P166" s="94"/>
      <c r="Q166" s="94"/>
      <c r="R166" s="94"/>
    </row>
    <row r="167" spans="1:18" ht="34.9" customHeight="1" x14ac:dyDescent="0.25">
      <c r="B167" s="96"/>
      <c r="C167" s="97"/>
      <c r="D167" s="177"/>
      <c r="E167" s="94"/>
      <c r="F167" s="94"/>
      <c r="G167" s="97"/>
      <c r="H167" s="177"/>
      <c r="I167" s="94"/>
      <c r="J167" s="97"/>
      <c r="K167" s="177"/>
      <c r="L167" s="94"/>
      <c r="M167" s="97"/>
      <c r="N167" s="178"/>
      <c r="O167" s="94"/>
      <c r="P167" s="94"/>
      <c r="Q167" s="94"/>
      <c r="R167" s="94"/>
    </row>
    <row r="168" spans="1:18" ht="34.9" customHeight="1" x14ac:dyDescent="0.25">
      <c r="B168" s="96"/>
      <c r="C168" s="97"/>
      <c r="D168" s="177"/>
      <c r="E168" s="94"/>
      <c r="F168" s="94"/>
      <c r="G168" s="97"/>
      <c r="H168" s="177"/>
      <c r="I168" s="94"/>
      <c r="J168" s="97"/>
      <c r="K168" s="177"/>
      <c r="L168" s="94"/>
      <c r="M168" s="97"/>
      <c r="N168" s="178"/>
      <c r="O168" s="94"/>
      <c r="P168" s="94"/>
      <c r="Q168" s="94"/>
      <c r="R168" s="94"/>
    </row>
    <row r="169" spans="1:18" x14ac:dyDescent="0.3">
      <c r="A169" s="26" t="str">
        <f>_xlfn.CONCAT(MAX($A$1:A163),"-6")</f>
        <v>1-6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</row>
    <row r="170" spans="1:18" ht="34.9" customHeight="1" x14ac:dyDescent="0.25">
      <c r="B170" s="152" t="s">
        <v>260</v>
      </c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</row>
    <row r="171" spans="1:18" ht="34.9" customHeight="1" x14ac:dyDescent="0.25">
      <c r="B171" s="152" t="s">
        <v>261</v>
      </c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</row>
    <row r="172" spans="1:18" ht="34.9" customHeight="1" x14ac:dyDescent="0.25">
      <c r="B172" s="152" t="s">
        <v>262</v>
      </c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</row>
    <row r="173" spans="1:18" ht="34.9" customHeight="1" x14ac:dyDescent="0.25">
      <c r="B173" s="215" t="s">
        <v>550</v>
      </c>
      <c r="C173" s="114"/>
      <c r="D173" s="114"/>
      <c r="E173" s="114"/>
      <c r="F173" s="114"/>
      <c r="G173" s="114"/>
      <c r="H173" s="114"/>
      <c r="I173" s="114"/>
      <c r="J173" s="114"/>
      <c r="K173" s="114"/>
      <c r="L173" s="134"/>
      <c r="M173" s="140"/>
      <c r="N173" s="101"/>
      <c r="O173" s="101"/>
      <c r="P173" s="101"/>
      <c r="Q173" s="101"/>
      <c r="R173" s="101"/>
    </row>
    <row r="174" spans="1:18" ht="34.9" customHeight="1" x14ac:dyDescent="0.25">
      <c r="B174" s="150" t="s">
        <v>551</v>
      </c>
      <c r="C174" s="94"/>
      <c r="D174" s="94"/>
      <c r="E174" s="94"/>
      <c r="F174" s="94"/>
      <c r="G174" s="94"/>
      <c r="H174" s="94"/>
      <c r="I174" s="94"/>
      <c r="J174" s="94"/>
      <c r="K174" s="94"/>
      <c r="L174" s="97"/>
      <c r="M174" s="112"/>
      <c r="N174" s="95"/>
      <c r="O174" s="95"/>
      <c r="P174" s="95"/>
      <c r="Q174" s="95"/>
      <c r="R174" s="95"/>
    </row>
    <row r="175" spans="1:18" ht="34.9" customHeight="1" x14ac:dyDescent="0.25">
      <c r="B175" s="150" t="s">
        <v>552</v>
      </c>
      <c r="C175" s="94"/>
      <c r="D175" s="94"/>
      <c r="E175" s="94"/>
      <c r="F175" s="94"/>
      <c r="G175" s="94"/>
      <c r="H175" s="94"/>
      <c r="I175" s="94"/>
      <c r="J175" s="94"/>
      <c r="K175" s="94"/>
      <c r="L175" s="97"/>
      <c r="M175" s="112"/>
      <c r="N175" s="95"/>
      <c r="O175" s="95"/>
      <c r="P175" s="95"/>
      <c r="Q175" s="95"/>
      <c r="R175" s="95"/>
    </row>
    <row r="176" spans="1:18" ht="34.9" customHeight="1" x14ac:dyDescent="0.25">
      <c r="B176" s="150" t="s">
        <v>553</v>
      </c>
      <c r="C176" s="94"/>
      <c r="D176" s="94"/>
      <c r="E176" s="94"/>
      <c r="F176" s="94"/>
      <c r="G176" s="94"/>
      <c r="H176" s="94"/>
      <c r="I176" s="94"/>
      <c r="J176" s="94"/>
      <c r="K176" s="94"/>
      <c r="L176" s="97"/>
      <c r="M176" s="112"/>
      <c r="N176" s="95"/>
      <c r="O176" s="95"/>
      <c r="P176" s="95"/>
      <c r="Q176" s="95"/>
      <c r="R176" s="95"/>
    </row>
    <row r="177" spans="2:18" ht="34.9" customHeight="1" x14ac:dyDescent="0.25">
      <c r="B177" s="150" t="s">
        <v>554</v>
      </c>
      <c r="C177" s="94"/>
      <c r="D177" s="94"/>
      <c r="E177" s="94"/>
      <c r="F177" s="94"/>
      <c r="G177" s="94"/>
      <c r="H177" s="94"/>
      <c r="I177" s="94"/>
      <c r="J177" s="94"/>
      <c r="K177" s="94"/>
      <c r="L177" s="97"/>
      <c r="M177" s="99"/>
      <c r="N177" s="94"/>
      <c r="O177" s="94"/>
      <c r="P177" s="94"/>
      <c r="Q177" s="94"/>
      <c r="R177" s="94"/>
    </row>
    <row r="178" spans="2:18" ht="4.9000000000000004" customHeight="1" x14ac:dyDescent="0.3"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 ht="34.9" customHeight="1" x14ac:dyDescent="0.25">
      <c r="B179" s="211" t="s">
        <v>555</v>
      </c>
      <c r="C179" s="94"/>
      <c r="D179" s="94"/>
      <c r="E179" s="94"/>
      <c r="F179" s="94"/>
      <c r="G179" s="94"/>
      <c r="H179" s="94"/>
      <c r="I179" s="94"/>
      <c r="J179" s="94"/>
      <c r="K179" s="94"/>
      <c r="L179" s="97"/>
      <c r="M179" s="212" t="s">
        <v>556</v>
      </c>
      <c r="N179" s="94"/>
      <c r="O179" s="94"/>
      <c r="P179" s="214" t="s">
        <v>557</v>
      </c>
      <c r="Q179" s="94"/>
      <c r="R179" s="94"/>
    </row>
    <row r="180" spans="2:18" ht="34.9" customHeight="1" x14ac:dyDescent="0.25">
      <c r="B180" s="150" t="s">
        <v>558</v>
      </c>
      <c r="C180" s="94"/>
      <c r="D180" s="94"/>
      <c r="E180" s="94"/>
      <c r="F180" s="94"/>
      <c r="G180" s="94"/>
      <c r="H180" s="94"/>
      <c r="I180" s="94"/>
      <c r="J180" s="94"/>
      <c r="K180" s="94"/>
      <c r="L180" s="97"/>
      <c r="M180" s="106"/>
      <c r="N180" s="94"/>
      <c r="O180" s="94"/>
      <c r="P180" s="99"/>
      <c r="Q180" s="94"/>
      <c r="R180" s="94"/>
    </row>
    <row r="181" spans="2:18" ht="34.9" customHeight="1" x14ac:dyDescent="0.25">
      <c r="B181" s="150" t="s">
        <v>559</v>
      </c>
      <c r="C181" s="94"/>
      <c r="D181" s="94"/>
      <c r="E181" s="94"/>
      <c r="F181" s="94"/>
      <c r="G181" s="94"/>
      <c r="H181" s="94"/>
      <c r="I181" s="94"/>
      <c r="J181" s="94"/>
      <c r="K181" s="94"/>
      <c r="L181" s="97"/>
      <c r="M181" s="106"/>
      <c r="N181" s="94"/>
      <c r="O181" s="94"/>
      <c r="P181" s="99"/>
      <c r="Q181" s="94"/>
      <c r="R181" s="94"/>
    </row>
    <row r="182" spans="2:18" ht="34.9" customHeight="1" x14ac:dyDescent="0.25">
      <c r="B182" s="150" t="s">
        <v>560</v>
      </c>
      <c r="C182" s="94"/>
      <c r="D182" s="94"/>
      <c r="E182" s="94"/>
      <c r="F182" s="94"/>
      <c r="G182" s="94"/>
      <c r="H182" s="94"/>
      <c r="I182" s="94"/>
      <c r="J182" s="94"/>
      <c r="K182" s="94"/>
      <c r="L182" s="97"/>
      <c r="M182" s="106"/>
      <c r="N182" s="94"/>
      <c r="O182" s="94"/>
      <c r="P182" s="99"/>
      <c r="Q182" s="94"/>
      <c r="R182" s="94"/>
    </row>
    <row r="183" spans="2:18" ht="34.9" customHeight="1" x14ac:dyDescent="0.25">
      <c r="B183" s="150" t="s">
        <v>561</v>
      </c>
      <c r="C183" s="94"/>
      <c r="D183" s="94"/>
      <c r="E183" s="94"/>
      <c r="F183" s="94"/>
      <c r="G183" s="94"/>
      <c r="H183" s="94"/>
      <c r="I183" s="94"/>
      <c r="J183" s="94"/>
      <c r="K183" s="94"/>
      <c r="L183" s="97"/>
      <c r="M183" s="106"/>
      <c r="N183" s="94"/>
      <c r="O183" s="94"/>
      <c r="P183" s="99"/>
      <c r="Q183" s="94"/>
      <c r="R183" s="94"/>
    </row>
    <row r="184" spans="2:18" ht="34.9" customHeight="1" x14ac:dyDescent="0.25">
      <c r="B184" s="150" t="s">
        <v>562</v>
      </c>
      <c r="C184" s="94"/>
      <c r="D184" s="94"/>
      <c r="E184" s="94"/>
      <c r="F184" s="94"/>
      <c r="G184" s="94"/>
      <c r="H184" s="94"/>
      <c r="I184" s="94"/>
      <c r="J184" s="94"/>
      <c r="K184" s="94"/>
      <c r="L184" s="97"/>
      <c r="M184" s="106"/>
      <c r="N184" s="94"/>
      <c r="O184" s="94"/>
      <c r="P184" s="99"/>
      <c r="Q184" s="94"/>
      <c r="R184" s="94"/>
    </row>
    <row r="185" spans="2:18" ht="4.9000000000000004" customHeight="1" x14ac:dyDescent="0.3"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</row>
    <row r="186" spans="2:18" ht="34.9" customHeight="1" x14ac:dyDescent="0.25">
      <c r="B186" s="211" t="s">
        <v>563</v>
      </c>
      <c r="C186" s="94"/>
      <c r="D186" s="94"/>
      <c r="E186" s="94"/>
      <c r="F186" s="94"/>
      <c r="G186" s="94"/>
      <c r="H186" s="94"/>
      <c r="I186" s="94"/>
      <c r="J186" s="94"/>
      <c r="K186" s="94"/>
      <c r="L186" s="97"/>
      <c r="M186" s="212" t="s">
        <v>564</v>
      </c>
      <c r="N186" s="94"/>
      <c r="O186" s="97"/>
      <c r="P186" s="213" t="s">
        <v>565</v>
      </c>
      <c r="Q186" s="95"/>
      <c r="R186" s="95"/>
    </row>
    <row r="187" spans="2:18" ht="34.9" customHeight="1" x14ac:dyDescent="0.25">
      <c r="B187" s="150" t="s">
        <v>566</v>
      </c>
      <c r="C187" s="94"/>
      <c r="D187" s="94"/>
      <c r="E187" s="94"/>
      <c r="F187" s="94"/>
      <c r="G187" s="94"/>
      <c r="H187" s="94"/>
      <c r="I187" s="94"/>
      <c r="J187" s="94"/>
      <c r="K187" s="94"/>
      <c r="L187" s="97"/>
      <c r="M187" s="106"/>
      <c r="N187" s="94"/>
      <c r="O187" s="97"/>
      <c r="P187" s="190"/>
      <c r="Q187" s="94"/>
      <c r="R187" s="94"/>
    </row>
    <row r="188" spans="2:18" x14ac:dyDescent="0.3"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</row>
    <row r="189" spans="2:18" x14ac:dyDescent="0.25">
      <c r="B189" s="152" t="s">
        <v>263</v>
      </c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</row>
    <row r="190" spans="2:18" x14ac:dyDescent="0.25">
      <c r="B190" s="150" t="s">
        <v>567</v>
      </c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7"/>
      <c r="O190" s="178"/>
      <c r="P190" s="94"/>
      <c r="Q190" s="94"/>
      <c r="R190" s="94"/>
    </row>
    <row r="191" spans="2:18" x14ac:dyDescent="0.25">
      <c r="B191" s="150" t="s">
        <v>568</v>
      </c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7"/>
      <c r="O191" s="178"/>
      <c r="P191" s="94"/>
      <c r="Q191" s="94"/>
      <c r="R191" s="94"/>
    </row>
    <row r="192" spans="2:18" x14ac:dyDescent="0.25">
      <c r="B192" s="150" t="s">
        <v>569</v>
      </c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7"/>
      <c r="O192" s="178"/>
      <c r="P192" s="94"/>
      <c r="Q192" s="94"/>
      <c r="R192" s="94"/>
    </row>
    <row r="193" spans="2:18" x14ac:dyDescent="0.25">
      <c r="B193" s="150" t="s">
        <v>570</v>
      </c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7"/>
      <c r="O193" s="178"/>
      <c r="P193" s="94"/>
      <c r="Q193" s="94"/>
      <c r="R193" s="94"/>
    </row>
    <row r="194" spans="2:18" x14ac:dyDescent="0.25">
      <c r="B194" s="150" t="s">
        <v>571</v>
      </c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7"/>
      <c r="O194" s="178">
        <f>O191+O192-O193</f>
        <v>0</v>
      </c>
      <c r="P194" s="94"/>
      <c r="Q194" s="94"/>
      <c r="R194" s="94"/>
    </row>
    <row r="195" spans="2:18" ht="4.9000000000000004" customHeight="1" x14ac:dyDescent="0.3"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</row>
    <row r="196" spans="2:18" x14ac:dyDescent="0.25">
      <c r="B196" s="152" t="s">
        <v>264</v>
      </c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</row>
    <row r="197" spans="2:18" x14ac:dyDescent="0.25">
      <c r="B197" s="150" t="s">
        <v>572</v>
      </c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7"/>
      <c r="O197" s="99" t="s">
        <v>573</v>
      </c>
      <c r="P197" s="94"/>
      <c r="Q197" s="94"/>
      <c r="R197" s="94"/>
    </row>
    <row r="198" spans="2:18" ht="4.9000000000000004" customHeight="1" x14ac:dyDescent="0.3"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 x14ac:dyDescent="0.25">
      <c r="B199" s="152" t="s">
        <v>265</v>
      </c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</row>
    <row r="200" spans="2:18" ht="24.6" customHeight="1" x14ac:dyDescent="0.25">
      <c r="B200" s="184" t="s">
        <v>574</v>
      </c>
      <c r="C200" s="185" t="s">
        <v>575</v>
      </c>
      <c r="D200" s="101"/>
      <c r="E200" s="137"/>
      <c r="F200" s="186" t="s">
        <v>576</v>
      </c>
      <c r="G200" s="114"/>
      <c r="H200" s="114"/>
      <c r="I200" s="114"/>
      <c r="J200" s="114"/>
      <c r="K200" s="114"/>
      <c r="L200" s="114"/>
      <c r="M200" s="114"/>
      <c r="N200" s="114"/>
      <c r="O200" s="134"/>
      <c r="P200" s="113" t="s">
        <v>577</v>
      </c>
      <c r="Q200" s="101"/>
      <c r="R200" s="101"/>
    </row>
    <row r="201" spans="2:18" ht="32.450000000000003" customHeight="1" x14ac:dyDescent="0.25">
      <c r="B201" s="134"/>
      <c r="C201" s="193"/>
      <c r="D201" s="114"/>
      <c r="E201" s="134"/>
      <c r="F201" s="98" t="s">
        <v>578</v>
      </c>
      <c r="G201" s="94"/>
      <c r="H201" s="97"/>
      <c r="I201" s="98" t="s">
        <v>579</v>
      </c>
      <c r="J201" s="97"/>
      <c r="K201" s="98" t="s">
        <v>535</v>
      </c>
      <c r="L201" s="97"/>
      <c r="M201" s="99" t="s">
        <v>534</v>
      </c>
      <c r="N201" s="94"/>
      <c r="O201" s="94"/>
      <c r="P201" s="193"/>
      <c r="Q201" s="114"/>
      <c r="R201" s="114"/>
    </row>
    <row r="202" spans="2:18" x14ac:dyDescent="0.25">
      <c r="B202" s="46" t="s">
        <v>580</v>
      </c>
      <c r="C202" s="195"/>
      <c r="D202" s="94"/>
      <c r="E202" s="97"/>
      <c r="F202" s="177"/>
      <c r="G202" s="94"/>
      <c r="H202" s="97"/>
      <c r="I202" s="177"/>
      <c r="J202" s="97"/>
      <c r="K202" s="177"/>
      <c r="L202" s="97"/>
      <c r="M202" s="178"/>
      <c r="N202" s="94"/>
      <c r="O202" s="94"/>
      <c r="P202" s="178"/>
      <c r="Q202" s="94"/>
      <c r="R202" s="94"/>
    </row>
    <row r="203" spans="2:18" x14ac:dyDescent="0.25">
      <c r="B203" s="46" t="s">
        <v>581</v>
      </c>
      <c r="C203" s="195"/>
      <c r="D203" s="94"/>
      <c r="E203" s="97"/>
      <c r="F203" s="98" t="s">
        <v>582</v>
      </c>
      <c r="G203" s="94"/>
      <c r="H203" s="97"/>
      <c r="I203" s="177"/>
      <c r="J203" s="97"/>
      <c r="K203" s="177"/>
      <c r="L203" s="97"/>
      <c r="M203" s="178"/>
      <c r="N203" s="94"/>
      <c r="O203" s="94"/>
      <c r="P203" s="178"/>
      <c r="Q203" s="94"/>
      <c r="R203" s="94"/>
    </row>
    <row r="204" spans="2:18" x14ac:dyDescent="0.25">
      <c r="B204" s="46" t="s">
        <v>583</v>
      </c>
      <c r="C204" s="195"/>
      <c r="D204" s="94"/>
      <c r="E204" s="97"/>
      <c r="F204" s="98" t="s">
        <v>582</v>
      </c>
      <c r="G204" s="94"/>
      <c r="H204" s="97"/>
      <c r="I204" s="98" t="s">
        <v>582</v>
      </c>
      <c r="J204" s="97"/>
      <c r="K204" s="177"/>
      <c r="L204" s="97"/>
      <c r="M204" s="178"/>
      <c r="N204" s="94"/>
      <c r="O204" s="94"/>
      <c r="P204" s="178"/>
      <c r="Q204" s="94"/>
      <c r="R204" s="94"/>
    </row>
    <row r="205" spans="2:18" x14ac:dyDescent="0.25">
      <c r="B205" s="46" t="s">
        <v>584</v>
      </c>
      <c r="C205" s="195"/>
      <c r="D205" s="94"/>
      <c r="E205" s="97"/>
      <c r="F205" s="98" t="s">
        <v>582</v>
      </c>
      <c r="G205" s="94"/>
      <c r="H205" s="97"/>
      <c r="I205" s="98" t="s">
        <v>582</v>
      </c>
      <c r="J205" s="97"/>
      <c r="K205" s="98" t="s">
        <v>582</v>
      </c>
      <c r="L205" s="97"/>
      <c r="M205" s="178"/>
      <c r="N205" s="94"/>
      <c r="O205" s="94"/>
      <c r="P205" s="178"/>
      <c r="Q205" s="94"/>
      <c r="R205" s="94"/>
    </row>
    <row r="206" spans="2:18" x14ac:dyDescent="0.25">
      <c r="B206" s="46" t="s">
        <v>534</v>
      </c>
      <c r="C206" s="195"/>
      <c r="D206" s="94"/>
      <c r="E206" s="97"/>
      <c r="F206" s="98" t="s">
        <v>582</v>
      </c>
      <c r="G206" s="94"/>
      <c r="H206" s="97"/>
      <c r="I206" s="98" t="s">
        <v>582</v>
      </c>
      <c r="J206" s="97"/>
      <c r="K206" s="98" t="s">
        <v>582</v>
      </c>
      <c r="L206" s="97"/>
      <c r="M206" s="99" t="s">
        <v>582</v>
      </c>
      <c r="N206" s="94"/>
      <c r="O206" s="94"/>
      <c r="P206" s="210" t="s">
        <v>582</v>
      </c>
      <c r="Q206" s="94"/>
      <c r="R206" s="94"/>
    </row>
    <row r="207" spans="2:18" ht="4.9000000000000004" customHeight="1" x14ac:dyDescent="0.3"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</row>
    <row r="208" spans="2:18" x14ac:dyDescent="0.25">
      <c r="B208" s="152" t="s">
        <v>266</v>
      </c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</row>
    <row r="209" spans="2:18" x14ac:dyDescent="0.25">
      <c r="B209" s="184" t="s">
        <v>585</v>
      </c>
      <c r="C209" s="114"/>
      <c r="D209" s="114"/>
      <c r="E209" s="114"/>
      <c r="F209" s="134"/>
      <c r="G209" s="98" t="s">
        <v>586</v>
      </c>
      <c r="H209" s="94"/>
      <c r="I209" s="94"/>
      <c r="J209" s="94"/>
      <c r="K209" s="94"/>
      <c r="L209" s="97"/>
      <c r="M209" s="99" t="s">
        <v>587</v>
      </c>
      <c r="N209" s="94"/>
      <c r="O209" s="94"/>
      <c r="P209" s="94"/>
      <c r="Q209" s="94"/>
      <c r="R209" s="94"/>
    </row>
    <row r="210" spans="2:18" x14ac:dyDescent="0.25">
      <c r="B210" s="195"/>
      <c r="C210" s="94"/>
      <c r="D210" s="94"/>
      <c r="E210" s="94"/>
      <c r="F210" s="97"/>
      <c r="G210" s="177"/>
      <c r="H210" s="94"/>
      <c r="I210" s="94"/>
      <c r="J210" s="94"/>
      <c r="K210" s="94"/>
      <c r="L210" s="97"/>
      <c r="M210" s="180"/>
      <c r="N210" s="94"/>
      <c r="O210" s="94"/>
      <c r="P210" s="94"/>
      <c r="Q210" s="94"/>
      <c r="R210" s="94"/>
    </row>
    <row r="211" spans="2:18" x14ac:dyDescent="0.3"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</row>
    <row r="212" spans="2:18" x14ac:dyDescent="0.25">
      <c r="B212" s="152" t="s">
        <v>293</v>
      </c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</row>
    <row r="213" spans="2:18" x14ac:dyDescent="0.25">
      <c r="B213" s="200" t="s">
        <v>295</v>
      </c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</row>
    <row r="214" spans="2:18" x14ac:dyDescent="0.25">
      <c r="B214" s="207" t="s">
        <v>588</v>
      </c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133"/>
      <c r="N214" s="208"/>
      <c r="O214" s="95"/>
      <c r="P214" s="95"/>
      <c r="Q214" s="95"/>
      <c r="R214" s="95"/>
    </row>
    <row r="215" spans="2:18" x14ac:dyDescent="0.25">
      <c r="B215" s="207" t="s">
        <v>589</v>
      </c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133"/>
      <c r="N215" s="208">
        <f>N214*0.5</f>
        <v>0</v>
      </c>
      <c r="O215" s="95"/>
      <c r="P215" s="95"/>
      <c r="Q215" s="95"/>
      <c r="R215" s="95"/>
    </row>
    <row r="216" spans="2:18" x14ac:dyDescent="0.25">
      <c r="B216" s="207" t="s">
        <v>590</v>
      </c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133"/>
      <c r="N216" s="208"/>
      <c r="O216" s="95"/>
      <c r="P216" s="95"/>
      <c r="Q216" s="95"/>
      <c r="R216" s="95"/>
    </row>
    <row r="217" spans="2:18" x14ac:dyDescent="0.25">
      <c r="B217" s="135" t="s">
        <v>591</v>
      </c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7"/>
      <c r="N217" s="189">
        <f>N216-N215</f>
        <v>0</v>
      </c>
      <c r="O217" s="94"/>
      <c r="P217" s="94"/>
      <c r="Q217" s="94"/>
      <c r="R217" s="94"/>
    </row>
    <row r="218" spans="2:18" x14ac:dyDescent="0.3"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 x14ac:dyDescent="0.25">
      <c r="B219" s="152" t="s">
        <v>298</v>
      </c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</row>
    <row r="220" spans="2:18" x14ac:dyDescent="0.25">
      <c r="B220" s="209" t="s">
        <v>299</v>
      </c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</row>
    <row r="221" spans="2:18" x14ac:dyDescent="0.25">
      <c r="B221" s="47" t="s">
        <v>592</v>
      </c>
      <c r="C221" s="185" t="s">
        <v>593</v>
      </c>
      <c r="D221" s="114"/>
      <c r="E221" s="134"/>
      <c r="F221" s="185" t="s">
        <v>594</v>
      </c>
      <c r="G221" s="114"/>
      <c r="H221" s="134"/>
      <c r="I221" s="185" t="s">
        <v>595</v>
      </c>
      <c r="J221" s="114"/>
      <c r="K221" s="134"/>
      <c r="L221" s="113" t="s">
        <v>596</v>
      </c>
      <c r="M221" s="114"/>
      <c r="N221" s="114"/>
      <c r="O221" s="114"/>
      <c r="P221" s="113" t="s">
        <v>597</v>
      </c>
      <c r="Q221" s="114"/>
      <c r="R221" s="114"/>
    </row>
    <row r="222" spans="2:18" x14ac:dyDescent="0.25">
      <c r="B222" s="53"/>
      <c r="C222" s="195">
        <f>N228</f>
        <v>0</v>
      </c>
      <c r="D222" s="94"/>
      <c r="E222" s="97"/>
      <c r="F222" s="177"/>
      <c r="G222" s="94"/>
      <c r="H222" s="97"/>
      <c r="I222" s="177">
        <f>Q241+M248</f>
        <v>0</v>
      </c>
      <c r="J222" s="94"/>
      <c r="K222" s="97"/>
      <c r="L222" s="178">
        <f>K252</f>
        <v>0</v>
      </c>
      <c r="M222" s="94"/>
      <c r="N222" s="94"/>
      <c r="O222" s="94"/>
      <c r="P222" s="178"/>
      <c r="Q222" s="94"/>
      <c r="R222" s="94"/>
    </row>
    <row r="223" spans="2:18" ht="4.9000000000000004" customHeight="1" x14ac:dyDescent="0.3"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</row>
    <row r="224" spans="2:18" x14ac:dyDescent="0.25">
      <c r="B224" s="152" t="s">
        <v>300</v>
      </c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</row>
    <row r="225" spans="2:18" x14ac:dyDescent="0.25">
      <c r="B225" s="152" t="s">
        <v>301</v>
      </c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5"/>
      <c r="O225" s="95"/>
      <c r="P225" s="95"/>
      <c r="Q225" s="95"/>
      <c r="R225" s="95"/>
    </row>
    <row r="226" spans="2:18" x14ac:dyDescent="0.25">
      <c r="B226" s="204" t="s">
        <v>598</v>
      </c>
      <c r="C226" s="114"/>
      <c r="D226" s="114"/>
      <c r="E226" s="114"/>
      <c r="F226" s="114"/>
      <c r="G226" s="134"/>
      <c r="H226" s="205" t="s">
        <v>599</v>
      </c>
      <c r="I226" s="94"/>
      <c r="J226" s="94"/>
      <c r="K226" s="94"/>
      <c r="L226" s="94"/>
      <c r="M226" s="97"/>
      <c r="N226" s="206" t="s">
        <v>423</v>
      </c>
      <c r="O226" s="94"/>
      <c r="P226" s="94"/>
      <c r="Q226" s="94"/>
      <c r="R226" s="94"/>
    </row>
    <row r="227" spans="2:18" ht="31.15" customHeight="1" x14ac:dyDescent="0.25">
      <c r="B227" s="96" t="s">
        <v>600</v>
      </c>
      <c r="C227" s="97"/>
      <c r="D227" s="106" t="s">
        <v>601</v>
      </c>
      <c r="E227" s="94"/>
      <c r="F227" s="94"/>
      <c r="G227" s="97"/>
      <c r="H227" s="106" t="s">
        <v>602</v>
      </c>
      <c r="I227" s="94"/>
      <c r="J227" s="97"/>
      <c r="K227" s="106" t="s">
        <v>603</v>
      </c>
      <c r="L227" s="94"/>
      <c r="M227" s="97"/>
      <c r="N227" s="113" t="s">
        <v>604</v>
      </c>
      <c r="O227" s="114"/>
      <c r="P227" s="114"/>
      <c r="Q227" s="114"/>
      <c r="R227" s="114"/>
    </row>
    <row r="228" spans="2:18" x14ac:dyDescent="0.25">
      <c r="B228" s="195"/>
      <c r="C228" s="97"/>
      <c r="D228" s="183"/>
      <c r="E228" s="202"/>
      <c r="F228" s="202"/>
      <c r="G228" s="203"/>
      <c r="H228" s="177"/>
      <c r="I228" s="94"/>
      <c r="J228" s="97"/>
      <c r="K228" s="183"/>
      <c r="L228" s="94"/>
      <c r="M228" s="97"/>
      <c r="N228" s="178"/>
      <c r="O228" s="94"/>
      <c r="P228" s="94"/>
      <c r="Q228" s="94"/>
      <c r="R228" s="94"/>
    </row>
    <row r="229" spans="2:18" ht="4.9000000000000004" customHeight="1" x14ac:dyDescent="0.3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</row>
    <row r="230" spans="2:18" x14ac:dyDescent="0.25">
      <c r="B230" s="152" t="s">
        <v>605</v>
      </c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</row>
    <row r="231" spans="2:18" x14ac:dyDescent="0.25">
      <c r="B231" s="201" t="s">
        <v>606</v>
      </c>
      <c r="C231" s="134"/>
      <c r="D231" s="185" t="s">
        <v>607</v>
      </c>
      <c r="E231" s="114"/>
      <c r="F231" s="114"/>
      <c r="G231" s="134"/>
      <c r="H231" s="185" t="s">
        <v>608</v>
      </c>
      <c r="I231" s="114"/>
      <c r="J231" s="134"/>
      <c r="K231" s="185" t="s">
        <v>609</v>
      </c>
      <c r="L231" s="114"/>
      <c r="M231" s="134"/>
      <c r="N231" s="113" t="s">
        <v>610</v>
      </c>
      <c r="O231" s="114"/>
      <c r="P231" s="114"/>
      <c r="Q231" s="114"/>
      <c r="R231" s="114"/>
    </row>
    <row r="232" spans="2:18" x14ac:dyDescent="0.25">
      <c r="B232" s="195"/>
      <c r="C232" s="97"/>
      <c r="D232" s="196"/>
      <c r="E232" s="197"/>
      <c r="F232" s="197"/>
      <c r="G232" s="198"/>
      <c r="H232" s="199"/>
      <c r="I232" s="94"/>
      <c r="J232" s="97"/>
      <c r="K232" s="177"/>
      <c r="L232" s="94"/>
      <c r="M232" s="97"/>
      <c r="N232" s="178"/>
      <c r="O232" s="94"/>
      <c r="P232" s="94"/>
      <c r="Q232" s="94"/>
      <c r="R232" s="94"/>
    </row>
    <row r="233" spans="2:18" ht="4.9000000000000004" customHeight="1" x14ac:dyDescent="0.3"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</row>
    <row r="234" spans="2:18" x14ac:dyDescent="0.25">
      <c r="B234" s="152" t="s">
        <v>611</v>
      </c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</row>
    <row r="235" spans="2:18" ht="67.900000000000006" customHeight="1" x14ac:dyDescent="0.25">
      <c r="B235" s="201" t="s">
        <v>606</v>
      </c>
      <c r="C235" s="134"/>
      <c r="D235" s="185" t="s">
        <v>607</v>
      </c>
      <c r="E235" s="114"/>
      <c r="F235" s="114"/>
      <c r="G235" s="134"/>
      <c r="H235" s="185" t="s">
        <v>612</v>
      </c>
      <c r="I235" s="114"/>
      <c r="J235" s="134"/>
      <c r="K235" s="185" t="s">
        <v>613</v>
      </c>
      <c r="L235" s="114"/>
      <c r="M235" s="134"/>
      <c r="N235" s="113" t="s">
        <v>614</v>
      </c>
      <c r="O235" s="114"/>
      <c r="P235" s="114"/>
      <c r="Q235" s="114"/>
      <c r="R235" s="114"/>
    </row>
    <row r="236" spans="2:18" x14ac:dyDescent="0.25">
      <c r="B236" s="195"/>
      <c r="C236" s="97"/>
      <c r="D236" s="196"/>
      <c r="E236" s="197"/>
      <c r="F236" s="197"/>
      <c r="G236" s="198"/>
      <c r="H236" s="199"/>
      <c r="I236" s="94"/>
      <c r="J236" s="97"/>
      <c r="K236" s="177"/>
      <c r="L236" s="94"/>
      <c r="M236" s="97"/>
      <c r="N236" s="178"/>
      <c r="O236" s="94"/>
      <c r="P236" s="94"/>
      <c r="Q236" s="94"/>
      <c r="R236" s="94"/>
    </row>
    <row r="237" spans="2:18" ht="19.899999999999999" customHeight="1" x14ac:dyDescent="0.3">
      <c r="B237" s="50"/>
      <c r="C237" s="50"/>
      <c r="D237" s="50"/>
      <c r="E237" s="50"/>
      <c r="F237" s="50"/>
      <c r="G237" s="50"/>
      <c r="H237" s="50"/>
      <c r="I237" s="50"/>
      <c r="J237" s="51"/>
      <c r="K237" s="51"/>
      <c r="L237" s="51"/>
      <c r="M237" s="51"/>
      <c r="N237" s="51"/>
      <c r="O237" s="51"/>
      <c r="P237" s="51"/>
      <c r="Q237" s="51"/>
      <c r="R237" s="51"/>
    </row>
    <row r="238" spans="2:18" x14ac:dyDescent="0.25">
      <c r="B238" s="200" t="s">
        <v>302</v>
      </c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</row>
    <row r="239" spans="2:18" x14ac:dyDescent="0.25">
      <c r="B239" s="152" t="s">
        <v>303</v>
      </c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</row>
    <row r="240" spans="2:18" ht="46.9" customHeight="1" x14ac:dyDescent="0.25">
      <c r="B240" s="43" t="s">
        <v>615</v>
      </c>
      <c r="C240" s="186" t="s">
        <v>616</v>
      </c>
      <c r="D240" s="134"/>
      <c r="E240" s="169" t="s">
        <v>617</v>
      </c>
      <c r="F240" s="134"/>
      <c r="G240" s="169" t="s">
        <v>618</v>
      </c>
      <c r="H240" s="114"/>
      <c r="I240" s="134"/>
      <c r="J240" s="52" t="s">
        <v>619</v>
      </c>
      <c r="K240" s="52" t="s">
        <v>620</v>
      </c>
      <c r="L240" s="186" t="s">
        <v>621</v>
      </c>
      <c r="M240" s="134"/>
      <c r="N240" s="44" t="s">
        <v>622</v>
      </c>
      <c r="O240" s="157" t="s">
        <v>623</v>
      </c>
      <c r="P240" s="97"/>
      <c r="Q240" s="159" t="s">
        <v>624</v>
      </c>
      <c r="R240" s="94"/>
    </row>
    <row r="241" spans="2:18" x14ac:dyDescent="0.25">
      <c r="B241" s="155"/>
      <c r="C241" s="156" t="s">
        <v>625</v>
      </c>
      <c r="D241" s="133"/>
      <c r="E241" s="153" t="s">
        <v>626</v>
      </c>
      <c r="F241" s="97"/>
      <c r="G241" s="194"/>
      <c r="H241" s="94"/>
      <c r="I241" s="97"/>
      <c r="J241" s="54"/>
      <c r="K241" s="55"/>
      <c r="L241" s="194"/>
      <c r="M241" s="97"/>
      <c r="N241" s="55"/>
      <c r="O241" s="194"/>
      <c r="P241" s="97"/>
      <c r="Q241" s="192"/>
      <c r="R241" s="101"/>
    </row>
    <row r="242" spans="2:18" x14ac:dyDescent="0.25">
      <c r="B242" s="134"/>
      <c r="C242" s="193"/>
      <c r="D242" s="134"/>
      <c r="E242" s="153" t="s">
        <v>627</v>
      </c>
      <c r="F242" s="97"/>
      <c r="G242" s="194"/>
      <c r="H242" s="94"/>
      <c r="I242" s="97"/>
      <c r="J242" s="54"/>
      <c r="K242" s="55"/>
      <c r="L242" s="194"/>
      <c r="M242" s="97"/>
      <c r="N242" s="55"/>
      <c r="O242" s="194"/>
      <c r="P242" s="97"/>
      <c r="Q242" s="193"/>
      <c r="R242" s="114"/>
    </row>
    <row r="243" spans="2:18" ht="4.9000000000000004" customHeight="1" x14ac:dyDescent="0.3"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</row>
    <row r="244" spans="2:18" x14ac:dyDescent="0.25">
      <c r="B244" s="152" t="s">
        <v>304</v>
      </c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</row>
    <row r="245" spans="2:18" x14ac:dyDescent="0.25">
      <c r="B245" s="150" t="s">
        <v>628</v>
      </c>
      <c r="C245" s="94"/>
      <c r="D245" s="94"/>
      <c r="E245" s="94"/>
      <c r="F245" s="94"/>
      <c r="G245" s="94"/>
      <c r="H245" s="94"/>
      <c r="I245" s="94"/>
      <c r="J245" s="94"/>
      <c r="K245" s="94"/>
      <c r="L245" s="97"/>
      <c r="M245" s="178"/>
      <c r="N245" s="94"/>
      <c r="O245" s="94"/>
      <c r="P245" s="94"/>
      <c r="Q245" s="94"/>
      <c r="R245" s="94"/>
    </row>
    <row r="246" spans="2:18" x14ac:dyDescent="0.25">
      <c r="B246" s="150" t="s">
        <v>629</v>
      </c>
      <c r="C246" s="94"/>
      <c r="D246" s="94"/>
      <c r="E246" s="94"/>
      <c r="F246" s="94"/>
      <c r="G246" s="94"/>
      <c r="H246" s="94"/>
      <c r="I246" s="94"/>
      <c r="J246" s="94"/>
      <c r="K246" s="94"/>
      <c r="L246" s="97"/>
      <c r="M246" s="178"/>
      <c r="N246" s="94"/>
      <c r="O246" s="94"/>
      <c r="P246" s="94"/>
      <c r="Q246" s="94"/>
      <c r="R246" s="94"/>
    </row>
    <row r="247" spans="2:18" x14ac:dyDescent="0.25">
      <c r="B247" s="150" t="s">
        <v>630</v>
      </c>
      <c r="C247" s="94"/>
      <c r="D247" s="94"/>
      <c r="E247" s="94"/>
      <c r="F247" s="94"/>
      <c r="G247" s="94"/>
      <c r="H247" s="94"/>
      <c r="I247" s="94"/>
      <c r="J247" s="94"/>
      <c r="K247" s="94"/>
      <c r="L247" s="97"/>
      <c r="M247" s="178">
        <f>M246*0.15</f>
        <v>0</v>
      </c>
      <c r="N247" s="94"/>
      <c r="O247" s="94"/>
      <c r="P247" s="94"/>
      <c r="Q247" s="94"/>
      <c r="R247" s="94"/>
    </row>
    <row r="248" spans="2:18" x14ac:dyDescent="0.25">
      <c r="B248" s="150" t="s">
        <v>631</v>
      </c>
      <c r="C248" s="94"/>
      <c r="D248" s="94"/>
      <c r="E248" s="94"/>
      <c r="F248" s="94"/>
      <c r="G248" s="94"/>
      <c r="H248" s="94"/>
      <c r="I248" s="94"/>
      <c r="J248" s="94"/>
      <c r="K248" s="94"/>
      <c r="L248" s="97"/>
      <c r="M248" s="178">
        <f>M247-M245</f>
        <v>0</v>
      </c>
      <c r="N248" s="189"/>
      <c r="O248" s="189"/>
      <c r="P248" s="189"/>
      <c r="Q248" s="189"/>
      <c r="R248" s="189"/>
    </row>
    <row r="249" spans="2:18" ht="4.9000000000000004" customHeight="1" x14ac:dyDescent="0.3"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</row>
    <row r="250" spans="2:18" x14ac:dyDescent="0.25">
      <c r="B250" s="152" t="s">
        <v>305</v>
      </c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</row>
    <row r="251" spans="2:18" x14ac:dyDescent="0.25">
      <c r="B251" s="150" t="s">
        <v>632</v>
      </c>
      <c r="C251" s="94"/>
      <c r="D251" s="94"/>
      <c r="E251" s="94"/>
      <c r="F251" s="94"/>
      <c r="G251" s="94"/>
      <c r="H251" s="94"/>
      <c r="I251" s="94"/>
      <c r="J251" s="97"/>
      <c r="K251" s="190"/>
      <c r="L251" s="191"/>
      <c r="M251" s="191"/>
      <c r="N251" s="191"/>
      <c r="O251" s="191"/>
      <c r="P251" s="191"/>
      <c r="Q251" s="191"/>
      <c r="R251" s="191"/>
    </row>
    <row r="252" spans="2:18" x14ac:dyDescent="0.25">
      <c r="B252" s="150" t="s">
        <v>633</v>
      </c>
      <c r="C252" s="94"/>
      <c r="D252" s="94"/>
      <c r="E252" s="94"/>
      <c r="F252" s="94"/>
      <c r="G252" s="94"/>
      <c r="H252" s="94"/>
      <c r="I252" s="94"/>
      <c r="J252" s="97"/>
      <c r="K252" s="189"/>
      <c r="L252" s="94"/>
      <c r="M252" s="94"/>
      <c r="N252" s="94"/>
      <c r="O252" s="94"/>
      <c r="P252" s="94"/>
      <c r="Q252" s="94"/>
      <c r="R252" s="94"/>
    </row>
    <row r="253" spans="2:18" x14ac:dyDescent="0.25">
      <c r="B253" s="150" t="s">
        <v>634</v>
      </c>
      <c r="C253" s="94"/>
      <c r="D253" s="94"/>
      <c r="E253" s="94"/>
      <c r="F253" s="94"/>
      <c r="G253" s="94"/>
      <c r="H253" s="94"/>
      <c r="I253" s="94"/>
      <c r="J253" s="97"/>
      <c r="K253" s="188"/>
      <c r="L253" s="94"/>
      <c r="M253" s="94"/>
      <c r="N253" s="94"/>
      <c r="O253" s="94"/>
      <c r="P253" s="94"/>
      <c r="Q253" s="94"/>
      <c r="R253" s="94"/>
    </row>
    <row r="254" spans="2:18" x14ac:dyDescent="0.25">
      <c r="B254" s="150" t="s">
        <v>635</v>
      </c>
      <c r="C254" s="94"/>
      <c r="D254" s="94"/>
      <c r="E254" s="94"/>
      <c r="F254" s="94"/>
      <c r="G254" s="94"/>
      <c r="H254" s="94"/>
      <c r="I254" s="94"/>
      <c r="J254" s="97"/>
      <c r="K254" s="189"/>
      <c r="L254" s="94"/>
      <c r="M254" s="94"/>
      <c r="N254" s="94"/>
      <c r="O254" s="94"/>
      <c r="P254" s="94"/>
      <c r="Q254" s="94"/>
      <c r="R254" s="94"/>
    </row>
    <row r="255" spans="2:18" x14ac:dyDescent="0.25">
      <c r="B255" s="150" t="s">
        <v>636</v>
      </c>
      <c r="C255" s="94"/>
      <c r="D255" s="94"/>
      <c r="E255" s="94"/>
      <c r="F255" s="94"/>
      <c r="G255" s="94"/>
      <c r="H255" s="94"/>
      <c r="I255" s="94"/>
      <c r="J255" s="97"/>
      <c r="K255" s="161"/>
      <c r="L255" s="94"/>
      <c r="M255" s="94"/>
      <c r="N255" s="94"/>
      <c r="O255" s="94"/>
      <c r="P255" s="94"/>
      <c r="Q255" s="94"/>
      <c r="R255" s="94"/>
    </row>
    <row r="256" spans="2:18" x14ac:dyDescent="0.25">
      <c r="B256" s="150" t="s">
        <v>637</v>
      </c>
      <c r="C256" s="95"/>
      <c r="D256" s="95"/>
      <c r="E256" s="95"/>
      <c r="F256" s="95"/>
      <c r="G256" s="95"/>
      <c r="H256" s="95"/>
      <c r="I256" s="95"/>
      <c r="J256" s="133"/>
      <c r="K256" s="186" t="s">
        <v>638</v>
      </c>
      <c r="L256" s="134"/>
      <c r="M256" s="186" t="s">
        <v>639</v>
      </c>
      <c r="N256" s="114"/>
      <c r="O256" s="114"/>
      <c r="P256" s="161" t="s">
        <v>640</v>
      </c>
      <c r="Q256" s="94"/>
      <c r="R256" s="94"/>
    </row>
    <row r="257" spans="1:18" x14ac:dyDescent="0.25">
      <c r="B257" s="114"/>
      <c r="C257" s="114"/>
      <c r="D257" s="114"/>
      <c r="E257" s="114"/>
      <c r="F257" s="114"/>
      <c r="G257" s="114"/>
      <c r="H257" s="114"/>
      <c r="I257" s="114"/>
      <c r="J257" s="134"/>
      <c r="K257" s="156"/>
      <c r="L257" s="97"/>
      <c r="M257" s="156"/>
      <c r="N257" s="94"/>
      <c r="O257" s="97"/>
      <c r="P257" s="187"/>
      <c r="Q257" s="114"/>
      <c r="R257" s="114"/>
    </row>
    <row r="258" spans="1:18" x14ac:dyDescent="0.25">
      <c r="B258" s="150" t="s">
        <v>641</v>
      </c>
      <c r="C258" s="94"/>
      <c r="D258" s="94"/>
      <c r="E258" s="94"/>
      <c r="F258" s="94"/>
      <c r="G258" s="94"/>
      <c r="H258" s="94"/>
      <c r="I258" s="94"/>
      <c r="J258" s="97"/>
      <c r="K258" s="99"/>
      <c r="L258" s="94"/>
      <c r="M258" s="94"/>
      <c r="N258" s="94"/>
      <c r="O258" s="94"/>
      <c r="P258" s="94"/>
      <c r="Q258" s="94"/>
      <c r="R258" s="94"/>
    </row>
    <row r="259" spans="1:18" x14ac:dyDescent="0.25">
      <c r="A259" s="26" t="str">
        <f>_xlfn.CONCAT(MAX($A$1:A258),"-7")</f>
        <v>1-7</v>
      </c>
      <c r="B259" s="150" t="s">
        <v>642</v>
      </c>
      <c r="C259" s="94"/>
      <c r="D259" s="94"/>
      <c r="E259" s="94"/>
      <c r="F259" s="94"/>
      <c r="G259" s="94"/>
      <c r="H259" s="94"/>
      <c r="I259" s="94"/>
      <c r="J259" s="97"/>
      <c r="K259" s="99"/>
      <c r="L259" s="94"/>
      <c r="M259" s="94"/>
      <c r="N259" s="94"/>
      <c r="O259" s="94"/>
      <c r="P259" s="94"/>
      <c r="Q259" s="94"/>
      <c r="R259" s="94"/>
    </row>
  </sheetData>
  <mergeCells count="524">
    <mergeCell ref="B2:R2"/>
    <mergeCell ref="B3:R3"/>
    <mergeCell ref="B4:R4"/>
    <mergeCell ref="B5:N5"/>
    <mergeCell ref="O5:R5"/>
    <mergeCell ref="B6:N6"/>
    <mergeCell ref="O6:R6"/>
    <mergeCell ref="B15:N15"/>
    <mergeCell ref="B16:N16"/>
    <mergeCell ref="B17:N17"/>
    <mergeCell ref="B18:N18"/>
    <mergeCell ref="B19:N19"/>
    <mergeCell ref="B20:N20"/>
    <mergeCell ref="B7:N7"/>
    <mergeCell ref="O7:R7"/>
    <mergeCell ref="B8:N8"/>
    <mergeCell ref="O8:R22"/>
    <mergeCell ref="B9:N9"/>
    <mergeCell ref="B10:N10"/>
    <mergeCell ref="B11:N11"/>
    <mergeCell ref="B12:N12"/>
    <mergeCell ref="B13:N13"/>
    <mergeCell ref="B14:N14"/>
    <mergeCell ref="B21:N21"/>
    <mergeCell ref="B22:N22"/>
    <mergeCell ref="B24:R24"/>
    <mergeCell ref="B25:R25"/>
    <mergeCell ref="B26:D26"/>
    <mergeCell ref="E26:H26"/>
    <mergeCell ref="I26:K26"/>
    <mergeCell ref="L26:N26"/>
    <mergeCell ref="O26:R26"/>
    <mergeCell ref="B30:N30"/>
    <mergeCell ref="O30:R30"/>
    <mergeCell ref="B31:N31"/>
    <mergeCell ref="O31:R31"/>
    <mergeCell ref="B32:N32"/>
    <mergeCell ref="O32:R32"/>
    <mergeCell ref="B27:D27"/>
    <mergeCell ref="E27:H27"/>
    <mergeCell ref="I27:K27"/>
    <mergeCell ref="L27:N27"/>
    <mergeCell ref="O27:R27"/>
    <mergeCell ref="B29:R29"/>
    <mergeCell ref="B36:N36"/>
    <mergeCell ref="O36:R36"/>
    <mergeCell ref="B37:N37"/>
    <mergeCell ref="O37:R37"/>
    <mergeCell ref="B38:N38"/>
    <mergeCell ref="O38:R38"/>
    <mergeCell ref="B33:N33"/>
    <mergeCell ref="O33:R33"/>
    <mergeCell ref="B34:N34"/>
    <mergeCell ref="O34:R34"/>
    <mergeCell ref="B35:N35"/>
    <mergeCell ref="O35:R35"/>
    <mergeCell ref="B42:N42"/>
    <mergeCell ref="O42:R42"/>
    <mergeCell ref="B43:N43"/>
    <mergeCell ref="O43:R43"/>
    <mergeCell ref="B44:N44"/>
    <mergeCell ref="O44:R44"/>
    <mergeCell ref="B39:N39"/>
    <mergeCell ref="O39:R39"/>
    <mergeCell ref="B40:N40"/>
    <mergeCell ref="O40:R40"/>
    <mergeCell ref="B41:N41"/>
    <mergeCell ref="O41:R41"/>
    <mergeCell ref="B48:N48"/>
    <mergeCell ref="O48:R48"/>
    <mergeCell ref="B49:N49"/>
    <mergeCell ref="O49:R49"/>
    <mergeCell ref="B50:N50"/>
    <mergeCell ref="O50:R50"/>
    <mergeCell ref="B45:N45"/>
    <mergeCell ref="O45:R45"/>
    <mergeCell ref="B46:N46"/>
    <mergeCell ref="O46:R46"/>
    <mergeCell ref="B47:N47"/>
    <mergeCell ref="O47:R47"/>
    <mergeCell ref="B54:N54"/>
    <mergeCell ref="O54:R54"/>
    <mergeCell ref="B55:N55"/>
    <mergeCell ref="O55:R55"/>
    <mergeCell ref="B56:N56"/>
    <mergeCell ref="O56:R56"/>
    <mergeCell ref="B51:N51"/>
    <mergeCell ref="O51:R51"/>
    <mergeCell ref="B52:N52"/>
    <mergeCell ref="O52:R52"/>
    <mergeCell ref="B53:N53"/>
    <mergeCell ref="O53:R53"/>
    <mergeCell ref="B62:N62"/>
    <mergeCell ref="O62:R62"/>
    <mergeCell ref="B63:N63"/>
    <mergeCell ref="O63:R63"/>
    <mergeCell ref="B64:N64"/>
    <mergeCell ref="O64:R64"/>
    <mergeCell ref="B57:N57"/>
    <mergeCell ref="O57:R57"/>
    <mergeCell ref="B58:N58"/>
    <mergeCell ref="O58:R58"/>
    <mergeCell ref="B60:R60"/>
    <mergeCell ref="B61:R61"/>
    <mergeCell ref="B68:N68"/>
    <mergeCell ref="O68:R68"/>
    <mergeCell ref="B69:N69"/>
    <mergeCell ref="O69:R69"/>
    <mergeCell ref="B70:N70"/>
    <mergeCell ref="O70:R70"/>
    <mergeCell ref="B65:N65"/>
    <mergeCell ref="O65:R65"/>
    <mergeCell ref="B66:N66"/>
    <mergeCell ref="O66:R66"/>
    <mergeCell ref="B67:N67"/>
    <mergeCell ref="O67:R67"/>
    <mergeCell ref="B74:N74"/>
    <mergeCell ref="O74:R74"/>
    <mergeCell ref="B75:N75"/>
    <mergeCell ref="O75:R75"/>
    <mergeCell ref="B76:N76"/>
    <mergeCell ref="O76:R76"/>
    <mergeCell ref="B71:N71"/>
    <mergeCell ref="O71:R71"/>
    <mergeCell ref="B72:N72"/>
    <mergeCell ref="O72:R72"/>
    <mergeCell ref="B73:N73"/>
    <mergeCell ref="O73:R73"/>
    <mergeCell ref="B80:N80"/>
    <mergeCell ref="O80:R80"/>
    <mergeCell ref="B81:N81"/>
    <mergeCell ref="O81:R81"/>
    <mergeCell ref="B82:N82"/>
    <mergeCell ref="O82:R82"/>
    <mergeCell ref="B77:N77"/>
    <mergeCell ref="O77:R77"/>
    <mergeCell ref="B78:N78"/>
    <mergeCell ref="O78:R78"/>
    <mergeCell ref="B79:N79"/>
    <mergeCell ref="O79:R79"/>
    <mergeCell ref="B88:N88"/>
    <mergeCell ref="O88:R88"/>
    <mergeCell ref="B89:N89"/>
    <mergeCell ref="O89:R89"/>
    <mergeCell ref="B90:N90"/>
    <mergeCell ref="O90:R90"/>
    <mergeCell ref="B83:N83"/>
    <mergeCell ref="O83:R83"/>
    <mergeCell ref="B84:N84"/>
    <mergeCell ref="O84:R84"/>
    <mergeCell ref="B86:R86"/>
    <mergeCell ref="B87:N87"/>
    <mergeCell ref="O87:R87"/>
    <mergeCell ref="B95:D95"/>
    <mergeCell ref="E95:I95"/>
    <mergeCell ref="J95:R95"/>
    <mergeCell ref="B96:I96"/>
    <mergeCell ref="J96:R96"/>
    <mergeCell ref="B98:R98"/>
    <mergeCell ref="B92:R92"/>
    <mergeCell ref="B93:D93"/>
    <mergeCell ref="E93:I93"/>
    <mergeCell ref="J93:R93"/>
    <mergeCell ref="B94:D94"/>
    <mergeCell ref="E94:I94"/>
    <mergeCell ref="J94:R94"/>
    <mergeCell ref="B99:R99"/>
    <mergeCell ref="B100:R100"/>
    <mergeCell ref="B101:D104"/>
    <mergeCell ref="E101:N101"/>
    <mergeCell ref="O101:R101"/>
    <mergeCell ref="E102:N102"/>
    <mergeCell ref="O102:R102"/>
    <mergeCell ref="E103:N103"/>
    <mergeCell ref="O103:R103"/>
    <mergeCell ref="E104:N104"/>
    <mergeCell ref="O104:R104"/>
    <mergeCell ref="B105:N105"/>
    <mergeCell ref="O105:R105"/>
    <mergeCell ref="B106:D108"/>
    <mergeCell ref="E106:N106"/>
    <mergeCell ref="O106:R106"/>
    <mergeCell ref="E107:N107"/>
    <mergeCell ref="O107:R107"/>
    <mergeCell ref="E108:N108"/>
    <mergeCell ref="O108:R108"/>
    <mergeCell ref="B114:N114"/>
    <mergeCell ref="O114:R114"/>
    <mergeCell ref="B115:N115"/>
    <mergeCell ref="O115:R115"/>
    <mergeCell ref="B116:N116"/>
    <mergeCell ref="O116:R116"/>
    <mergeCell ref="B109:N109"/>
    <mergeCell ref="O109:R109"/>
    <mergeCell ref="B111:R111"/>
    <mergeCell ref="B112:N112"/>
    <mergeCell ref="O112:R112"/>
    <mergeCell ref="B113:N113"/>
    <mergeCell ref="O113:R113"/>
    <mergeCell ref="B120:N120"/>
    <mergeCell ref="O120:R120"/>
    <mergeCell ref="B121:N121"/>
    <mergeCell ref="O121:R121"/>
    <mergeCell ref="B122:N122"/>
    <mergeCell ref="O122:R122"/>
    <mergeCell ref="B117:N117"/>
    <mergeCell ref="O117:R117"/>
    <mergeCell ref="B118:N118"/>
    <mergeCell ref="O118:R118"/>
    <mergeCell ref="B119:N119"/>
    <mergeCell ref="O119:R119"/>
    <mergeCell ref="B126:N126"/>
    <mergeCell ref="O126:R126"/>
    <mergeCell ref="B127:N127"/>
    <mergeCell ref="O127:R127"/>
    <mergeCell ref="B128:N128"/>
    <mergeCell ref="O128:R128"/>
    <mergeCell ref="B123:N123"/>
    <mergeCell ref="O123:R123"/>
    <mergeCell ref="B124:N124"/>
    <mergeCell ref="O124:R124"/>
    <mergeCell ref="B125:N125"/>
    <mergeCell ref="O125:R125"/>
    <mergeCell ref="B133:E133"/>
    <mergeCell ref="F133:L133"/>
    <mergeCell ref="M133:R133"/>
    <mergeCell ref="B134:E134"/>
    <mergeCell ref="F134:L134"/>
    <mergeCell ref="M134:R134"/>
    <mergeCell ref="B129:N129"/>
    <mergeCell ref="O129:R129"/>
    <mergeCell ref="B131:R131"/>
    <mergeCell ref="B132:E132"/>
    <mergeCell ref="F132:L132"/>
    <mergeCell ref="M132:R132"/>
    <mergeCell ref="B137:E137"/>
    <mergeCell ref="F137:L137"/>
    <mergeCell ref="M137:R137"/>
    <mergeCell ref="B139:R139"/>
    <mergeCell ref="B140:R140"/>
    <mergeCell ref="B141:N141"/>
    <mergeCell ref="O141:R141"/>
    <mergeCell ref="B135:E135"/>
    <mergeCell ref="F135:L135"/>
    <mergeCell ref="M135:R135"/>
    <mergeCell ref="B136:E136"/>
    <mergeCell ref="F136:L136"/>
    <mergeCell ref="M136:R136"/>
    <mergeCell ref="B146:I146"/>
    <mergeCell ref="J146:M146"/>
    <mergeCell ref="N146:R146"/>
    <mergeCell ref="B147:I147"/>
    <mergeCell ref="J147:M147"/>
    <mergeCell ref="N147:R147"/>
    <mergeCell ref="B142:N142"/>
    <mergeCell ref="O142:R142"/>
    <mergeCell ref="B143:N143"/>
    <mergeCell ref="O143:R143"/>
    <mergeCell ref="B144:R144"/>
    <mergeCell ref="B145:I145"/>
    <mergeCell ref="J145:M145"/>
    <mergeCell ref="N145:R145"/>
    <mergeCell ref="B153:R153"/>
    <mergeCell ref="B154:J154"/>
    <mergeCell ref="K154:R154"/>
    <mergeCell ref="B155:J155"/>
    <mergeCell ref="K155:R155"/>
    <mergeCell ref="B157:R157"/>
    <mergeCell ref="B148:I148"/>
    <mergeCell ref="J148:M148"/>
    <mergeCell ref="N148:R148"/>
    <mergeCell ref="B150:R150"/>
    <mergeCell ref="B151:R151"/>
    <mergeCell ref="B152:R152"/>
    <mergeCell ref="B161:R161"/>
    <mergeCell ref="B162:C162"/>
    <mergeCell ref="D162:G162"/>
    <mergeCell ref="H162:J162"/>
    <mergeCell ref="K162:M162"/>
    <mergeCell ref="N162:R162"/>
    <mergeCell ref="B158:E158"/>
    <mergeCell ref="F158:J158"/>
    <mergeCell ref="K158:N158"/>
    <mergeCell ref="O158:R158"/>
    <mergeCell ref="B159:E159"/>
    <mergeCell ref="F159:J159"/>
    <mergeCell ref="K159:N159"/>
    <mergeCell ref="O159:R159"/>
    <mergeCell ref="B163:C163"/>
    <mergeCell ref="D163:G163"/>
    <mergeCell ref="H163:J163"/>
    <mergeCell ref="K163:M163"/>
    <mergeCell ref="N163:R163"/>
    <mergeCell ref="B164:C164"/>
    <mergeCell ref="D164:G164"/>
    <mergeCell ref="H164:J164"/>
    <mergeCell ref="K164:M164"/>
    <mergeCell ref="N164:R164"/>
    <mergeCell ref="B165:C165"/>
    <mergeCell ref="D165:G165"/>
    <mergeCell ref="H165:J165"/>
    <mergeCell ref="K165:M165"/>
    <mergeCell ref="N165:R165"/>
    <mergeCell ref="B166:C166"/>
    <mergeCell ref="D166:G166"/>
    <mergeCell ref="H166:J166"/>
    <mergeCell ref="K166:M166"/>
    <mergeCell ref="N166:R166"/>
    <mergeCell ref="B167:C167"/>
    <mergeCell ref="D167:G167"/>
    <mergeCell ref="H167:J167"/>
    <mergeCell ref="K167:M167"/>
    <mergeCell ref="N167:R167"/>
    <mergeCell ref="B168:C168"/>
    <mergeCell ref="D168:G168"/>
    <mergeCell ref="H168:J168"/>
    <mergeCell ref="K168:M168"/>
    <mergeCell ref="N168:R168"/>
    <mergeCell ref="B175:L175"/>
    <mergeCell ref="M175:R175"/>
    <mergeCell ref="B176:L176"/>
    <mergeCell ref="M176:R176"/>
    <mergeCell ref="B177:L177"/>
    <mergeCell ref="M177:R177"/>
    <mergeCell ref="B170:R170"/>
    <mergeCell ref="B171:R171"/>
    <mergeCell ref="B172:R172"/>
    <mergeCell ref="B173:L173"/>
    <mergeCell ref="M173:R173"/>
    <mergeCell ref="B174:L174"/>
    <mergeCell ref="M174:R174"/>
    <mergeCell ref="B181:L181"/>
    <mergeCell ref="M181:O181"/>
    <mergeCell ref="P181:R181"/>
    <mergeCell ref="B182:L182"/>
    <mergeCell ref="M182:O182"/>
    <mergeCell ref="P182:R182"/>
    <mergeCell ref="B179:L179"/>
    <mergeCell ref="M179:O179"/>
    <mergeCell ref="P179:R179"/>
    <mergeCell ref="B180:L180"/>
    <mergeCell ref="M180:O180"/>
    <mergeCell ref="P180:R180"/>
    <mergeCell ref="B186:L186"/>
    <mergeCell ref="M186:O186"/>
    <mergeCell ref="P186:R186"/>
    <mergeCell ref="B187:L187"/>
    <mergeCell ref="M187:O187"/>
    <mergeCell ref="P187:R187"/>
    <mergeCell ref="B183:L183"/>
    <mergeCell ref="M183:O183"/>
    <mergeCell ref="P183:R183"/>
    <mergeCell ref="B184:L184"/>
    <mergeCell ref="M184:O184"/>
    <mergeCell ref="P184:R184"/>
    <mergeCell ref="B193:N193"/>
    <mergeCell ref="O193:R193"/>
    <mergeCell ref="B194:N194"/>
    <mergeCell ref="O194:R194"/>
    <mergeCell ref="B196:R196"/>
    <mergeCell ref="B197:N197"/>
    <mergeCell ref="O197:R197"/>
    <mergeCell ref="B189:R189"/>
    <mergeCell ref="B190:N190"/>
    <mergeCell ref="O190:R190"/>
    <mergeCell ref="B191:N191"/>
    <mergeCell ref="O191:R191"/>
    <mergeCell ref="B192:N192"/>
    <mergeCell ref="O192:R192"/>
    <mergeCell ref="B199:R199"/>
    <mergeCell ref="B200:B201"/>
    <mergeCell ref="C200:E201"/>
    <mergeCell ref="F200:O200"/>
    <mergeCell ref="P200:R201"/>
    <mergeCell ref="F201:H201"/>
    <mergeCell ref="I201:J201"/>
    <mergeCell ref="K201:L201"/>
    <mergeCell ref="M201:O201"/>
    <mergeCell ref="C203:E203"/>
    <mergeCell ref="F203:H203"/>
    <mergeCell ref="I203:J203"/>
    <mergeCell ref="K203:L203"/>
    <mergeCell ref="M203:O203"/>
    <mergeCell ref="P203:R203"/>
    <mergeCell ref="C202:E202"/>
    <mergeCell ref="F202:H202"/>
    <mergeCell ref="I202:J202"/>
    <mergeCell ref="K202:L202"/>
    <mergeCell ref="M202:O202"/>
    <mergeCell ref="P202:R202"/>
    <mergeCell ref="C205:E205"/>
    <mergeCell ref="F205:H205"/>
    <mergeCell ref="I205:J205"/>
    <mergeCell ref="K205:L205"/>
    <mergeCell ref="M205:O205"/>
    <mergeCell ref="P205:R205"/>
    <mergeCell ref="C204:E204"/>
    <mergeCell ref="F204:H204"/>
    <mergeCell ref="I204:J204"/>
    <mergeCell ref="K204:L204"/>
    <mergeCell ref="M204:O204"/>
    <mergeCell ref="P204:R204"/>
    <mergeCell ref="B208:R208"/>
    <mergeCell ref="B209:F209"/>
    <mergeCell ref="G209:L209"/>
    <mergeCell ref="M209:R209"/>
    <mergeCell ref="B210:F210"/>
    <mergeCell ref="G210:L210"/>
    <mergeCell ref="M210:R210"/>
    <mergeCell ref="C206:E206"/>
    <mergeCell ref="F206:H206"/>
    <mergeCell ref="I206:J206"/>
    <mergeCell ref="K206:L206"/>
    <mergeCell ref="M206:O206"/>
    <mergeCell ref="P206:R206"/>
    <mergeCell ref="B216:M216"/>
    <mergeCell ref="N216:R216"/>
    <mergeCell ref="B217:M217"/>
    <mergeCell ref="N217:R217"/>
    <mergeCell ref="B219:R219"/>
    <mergeCell ref="B220:R220"/>
    <mergeCell ref="B212:R212"/>
    <mergeCell ref="B213:R213"/>
    <mergeCell ref="B214:M214"/>
    <mergeCell ref="N214:R214"/>
    <mergeCell ref="B215:M215"/>
    <mergeCell ref="N215:R215"/>
    <mergeCell ref="C221:E221"/>
    <mergeCell ref="F221:H221"/>
    <mergeCell ref="I221:K221"/>
    <mergeCell ref="L221:O221"/>
    <mergeCell ref="P221:R221"/>
    <mergeCell ref="C222:E222"/>
    <mergeCell ref="F222:H222"/>
    <mergeCell ref="I222:K222"/>
    <mergeCell ref="L222:O222"/>
    <mergeCell ref="P222:R222"/>
    <mergeCell ref="B228:C228"/>
    <mergeCell ref="D228:G228"/>
    <mergeCell ref="H228:J228"/>
    <mergeCell ref="K228:M228"/>
    <mergeCell ref="N228:R228"/>
    <mergeCell ref="B230:R230"/>
    <mergeCell ref="B224:R224"/>
    <mergeCell ref="B225:R225"/>
    <mergeCell ref="B226:G226"/>
    <mergeCell ref="H226:M226"/>
    <mergeCell ref="N226:R226"/>
    <mergeCell ref="B227:C227"/>
    <mergeCell ref="D227:G227"/>
    <mergeCell ref="H227:J227"/>
    <mergeCell ref="K227:M227"/>
    <mergeCell ref="N227:R227"/>
    <mergeCell ref="B234:R234"/>
    <mergeCell ref="B235:C235"/>
    <mergeCell ref="D235:G235"/>
    <mergeCell ref="H235:J235"/>
    <mergeCell ref="K235:M235"/>
    <mergeCell ref="N235:R235"/>
    <mergeCell ref="B231:C231"/>
    <mergeCell ref="D231:G231"/>
    <mergeCell ref="H231:J231"/>
    <mergeCell ref="K231:M231"/>
    <mergeCell ref="N231:R231"/>
    <mergeCell ref="B232:C232"/>
    <mergeCell ref="D232:G232"/>
    <mergeCell ref="H232:J232"/>
    <mergeCell ref="K232:M232"/>
    <mergeCell ref="N232:R232"/>
    <mergeCell ref="B239:R239"/>
    <mergeCell ref="C240:D240"/>
    <mergeCell ref="E240:F240"/>
    <mergeCell ref="G240:I240"/>
    <mergeCell ref="L240:M240"/>
    <mergeCell ref="O240:P240"/>
    <mergeCell ref="Q240:R240"/>
    <mergeCell ref="B236:C236"/>
    <mergeCell ref="D236:G236"/>
    <mergeCell ref="H236:J236"/>
    <mergeCell ref="K236:M236"/>
    <mergeCell ref="N236:R236"/>
    <mergeCell ref="B238:R238"/>
    <mergeCell ref="B245:L245"/>
    <mergeCell ref="M245:R245"/>
    <mergeCell ref="B246:L246"/>
    <mergeCell ref="M246:R246"/>
    <mergeCell ref="B247:L247"/>
    <mergeCell ref="M247:R247"/>
    <mergeCell ref="Q241:R242"/>
    <mergeCell ref="E242:F242"/>
    <mergeCell ref="G242:I242"/>
    <mergeCell ref="L242:M242"/>
    <mergeCell ref="O242:P242"/>
    <mergeCell ref="B244:R244"/>
    <mergeCell ref="B241:B242"/>
    <mergeCell ref="C241:D242"/>
    <mergeCell ref="E241:F241"/>
    <mergeCell ref="G241:I241"/>
    <mergeCell ref="L241:M241"/>
    <mergeCell ref="O241:P241"/>
    <mergeCell ref="B253:J253"/>
    <mergeCell ref="K253:R253"/>
    <mergeCell ref="B254:J254"/>
    <mergeCell ref="K254:R254"/>
    <mergeCell ref="B255:J255"/>
    <mergeCell ref="K255:R255"/>
    <mergeCell ref="B248:L248"/>
    <mergeCell ref="M248:R248"/>
    <mergeCell ref="B250:R250"/>
    <mergeCell ref="B251:J251"/>
    <mergeCell ref="K251:R251"/>
    <mergeCell ref="B252:J252"/>
    <mergeCell ref="K252:R252"/>
    <mergeCell ref="B258:J258"/>
    <mergeCell ref="K258:R258"/>
    <mergeCell ref="B259:J259"/>
    <mergeCell ref="K259:R259"/>
    <mergeCell ref="B256:J257"/>
    <mergeCell ref="K256:L256"/>
    <mergeCell ref="M256:O256"/>
    <mergeCell ref="P256:R256"/>
    <mergeCell ref="K257:L257"/>
    <mergeCell ref="M257:O257"/>
    <mergeCell ref="P257:R257"/>
  </mergeCells>
  <phoneticPr fontId="2" type="noConversion"/>
  <dataValidations disablePrompts="1" count="2">
    <dataValidation type="list" allowBlank="1" showInputMessage="1" showErrorMessage="1" sqref="M174:R177 K258:R259" xr:uid="{A64D1F23-9392-4385-B4BD-A3775CA499CB}">
      <formula1>"여,부"</formula1>
    </dataValidation>
    <dataValidation type="list" allowBlank="1" showInputMessage="1" showErrorMessage="1" sqref="O197:R197" xr:uid="{FE4CE233-9D0B-4C75-B387-2B2C0E8CCBDE}">
      <formula1>"□,■"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C491-9CA7-4ED3-B354-043C051F2310}">
  <sheetPr codeName="Sheet13">
    <pageSetUpPr fitToPage="1"/>
  </sheetPr>
  <dimension ref="A2:U185"/>
  <sheetViews>
    <sheetView showGridLines="0" zoomScale="85" zoomScaleNormal="85" zoomScaleSheetLayoutView="85" workbookViewId="0">
      <selection activeCell="B2" sqref="B2:R2"/>
    </sheetView>
  </sheetViews>
  <sheetFormatPr defaultColWidth="8.75" defaultRowHeight="16.5" x14ac:dyDescent="0.3"/>
  <cols>
    <col min="1" max="1" width="2" style="26" customWidth="1"/>
    <col min="2" max="2" width="14.125" style="1" customWidth="1"/>
    <col min="3" max="3" width="10.75" style="1" customWidth="1"/>
    <col min="4" max="4" width="7.5" style="1" customWidth="1"/>
    <col min="5" max="5" width="6" style="1" customWidth="1"/>
    <col min="6" max="6" width="9.5" style="1" customWidth="1"/>
    <col min="7" max="7" width="5.875" style="1" customWidth="1"/>
    <col min="8" max="8" width="7.5" style="1" customWidth="1"/>
    <col min="9" max="9" width="6.75" style="1" customWidth="1"/>
    <col min="10" max="10" width="13.875" style="1" customWidth="1"/>
    <col min="11" max="11" width="11" style="1" customWidth="1"/>
    <col min="12" max="12" width="8.625" style="1" customWidth="1"/>
    <col min="13" max="13" width="9.375" style="1" customWidth="1"/>
    <col min="14" max="14" width="10.25" style="1" customWidth="1"/>
    <col min="15" max="15" width="5.875" style="1" customWidth="1"/>
    <col min="16" max="16" width="8.25" style="1" customWidth="1"/>
    <col min="17" max="17" width="5.125" style="1" customWidth="1"/>
    <col min="18" max="18" width="10.75" style="1" customWidth="1"/>
    <col min="19" max="20" width="8.75" style="1" customWidth="1"/>
    <col min="21" max="16384" width="8.75" style="1"/>
  </cols>
  <sheetData>
    <row r="2" spans="1:18" ht="30" customHeight="1" x14ac:dyDescent="0.25">
      <c r="A2" s="26">
        <f>MAX($A$1:A1)+1</f>
        <v>1</v>
      </c>
      <c r="B2" s="200" t="s">
        <v>267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 ht="30" customHeight="1" x14ac:dyDescent="0.25">
      <c r="B3" s="152" t="s">
        <v>269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ht="30" customHeight="1" x14ac:dyDescent="0.25">
      <c r="B4" s="135" t="s">
        <v>643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7"/>
      <c r="O4" s="190"/>
      <c r="P4" s="94"/>
      <c r="Q4" s="94"/>
      <c r="R4" s="94"/>
    </row>
    <row r="5" spans="1:18" x14ac:dyDescent="0.3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ht="30" customHeight="1" x14ac:dyDescent="0.25">
      <c r="B6" s="152" t="s">
        <v>270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1:18" ht="30" customHeight="1" x14ac:dyDescent="0.25">
      <c r="A7" s="26" t="str">
        <f>_xlfn.CONCAT(MAX($A$1:A6),"-1")</f>
        <v>1-1</v>
      </c>
      <c r="B7" s="184" t="s">
        <v>644</v>
      </c>
      <c r="C7" s="114"/>
      <c r="D7" s="114"/>
      <c r="E7" s="114"/>
      <c r="F7" s="114"/>
      <c r="G7" s="114"/>
      <c r="H7" s="114"/>
      <c r="I7" s="114"/>
      <c r="J7" s="134"/>
      <c r="K7" s="113" t="s">
        <v>645</v>
      </c>
      <c r="L7" s="114"/>
      <c r="M7" s="114"/>
      <c r="N7" s="114"/>
      <c r="O7" s="114"/>
      <c r="P7" s="114"/>
      <c r="Q7" s="114"/>
      <c r="R7" s="114"/>
    </row>
    <row r="8" spans="1:18" ht="21" customHeight="1" x14ac:dyDescent="0.25">
      <c r="B8" s="263"/>
      <c r="C8" s="108"/>
      <c r="D8" s="108"/>
      <c r="E8" s="108"/>
      <c r="F8" s="108"/>
      <c r="G8" s="108"/>
      <c r="H8" s="108"/>
      <c r="I8" s="108"/>
      <c r="J8" s="109"/>
      <c r="K8" s="171"/>
      <c r="L8" s="108"/>
      <c r="M8" s="108"/>
      <c r="N8" s="108"/>
      <c r="O8" s="108"/>
      <c r="P8" s="108"/>
      <c r="Q8" s="108"/>
      <c r="R8" s="108"/>
    </row>
    <row r="9" spans="1:18" ht="21" customHeight="1" x14ac:dyDescent="0.25">
      <c r="B9" s="263"/>
      <c r="C9" s="108"/>
      <c r="D9" s="108"/>
      <c r="E9" s="108"/>
      <c r="F9" s="108"/>
      <c r="G9" s="108"/>
      <c r="H9" s="108"/>
      <c r="I9" s="108"/>
      <c r="J9" s="109"/>
      <c r="K9" s="171"/>
      <c r="L9" s="108"/>
      <c r="M9" s="108"/>
      <c r="N9" s="108"/>
      <c r="O9" s="108"/>
      <c r="P9" s="108"/>
      <c r="Q9" s="108"/>
      <c r="R9" s="108"/>
    </row>
    <row r="10" spans="1:18" ht="21" customHeight="1" x14ac:dyDescent="0.25">
      <c r="B10" s="263"/>
      <c r="C10" s="108"/>
      <c r="D10" s="108"/>
      <c r="E10" s="108"/>
      <c r="F10" s="108"/>
      <c r="G10" s="108"/>
      <c r="H10" s="108"/>
      <c r="I10" s="108"/>
      <c r="J10" s="109"/>
      <c r="K10" s="171"/>
      <c r="L10" s="108"/>
      <c r="M10" s="108"/>
      <c r="N10" s="108"/>
      <c r="O10" s="108"/>
      <c r="P10" s="108"/>
      <c r="Q10" s="108"/>
      <c r="R10" s="108"/>
    </row>
    <row r="11" spans="1:18" ht="21" customHeight="1" x14ac:dyDescent="0.25">
      <c r="B11" s="263"/>
      <c r="C11" s="108"/>
      <c r="D11" s="108"/>
      <c r="E11" s="108"/>
      <c r="F11" s="108"/>
      <c r="G11" s="108"/>
      <c r="H11" s="108"/>
      <c r="I11" s="108"/>
      <c r="J11" s="109"/>
      <c r="K11" s="171"/>
      <c r="L11" s="108"/>
      <c r="M11" s="108"/>
      <c r="N11" s="108"/>
      <c r="O11" s="108"/>
      <c r="P11" s="108"/>
      <c r="Q11" s="108"/>
      <c r="R11" s="108"/>
    </row>
    <row r="12" spans="1:18" ht="19.899999999999999" customHeight="1" x14ac:dyDescent="0.3">
      <c r="A12" s="26" t="str">
        <f>_xlfn.CONCAT(MAX($A$1:A11),"-2")</f>
        <v>1-2</v>
      </c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</row>
    <row r="13" spans="1:18" ht="18.399999999999999" customHeight="1" x14ac:dyDescent="0.25">
      <c r="B13" s="152" t="s">
        <v>271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</row>
    <row r="14" spans="1:18" ht="18.399999999999999" customHeight="1" x14ac:dyDescent="0.25">
      <c r="B14" s="152" t="s">
        <v>272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</row>
    <row r="15" spans="1:18" ht="18.399999999999999" customHeight="1" x14ac:dyDescent="0.25">
      <c r="B15" s="253" t="s">
        <v>273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190"/>
      <c r="N15" s="94"/>
      <c r="O15" s="94"/>
      <c r="P15" s="94"/>
      <c r="Q15" s="94"/>
      <c r="R15" s="94"/>
    </row>
    <row r="16" spans="1:18" ht="18.399999999999999" customHeight="1" x14ac:dyDescent="0.25">
      <c r="B16" s="253" t="s">
        <v>274</v>
      </c>
      <c r="C16" s="94"/>
      <c r="D16" s="94"/>
      <c r="E16" s="94"/>
      <c r="F16" s="94"/>
      <c r="G16" s="94"/>
      <c r="H16" s="94"/>
      <c r="I16" s="94"/>
      <c r="J16" s="94"/>
      <c r="K16" s="94"/>
      <c r="L16" s="97"/>
      <c r="M16" s="178"/>
      <c r="N16" s="94"/>
      <c r="O16" s="94"/>
      <c r="P16" s="94"/>
      <c r="Q16" s="94"/>
      <c r="R16" s="94"/>
    </row>
    <row r="17" spans="2:18" ht="18.399999999999999" customHeight="1" x14ac:dyDescent="0.25">
      <c r="B17" s="211" t="s">
        <v>275</v>
      </c>
      <c r="C17" s="94"/>
      <c r="D17" s="94"/>
      <c r="E17" s="94"/>
      <c r="F17" s="94"/>
      <c r="G17" s="94"/>
      <c r="H17" s="94"/>
      <c r="I17" s="94"/>
      <c r="J17" s="94"/>
      <c r="K17" s="94"/>
      <c r="L17" s="97"/>
      <c r="M17" s="262" t="s">
        <v>646</v>
      </c>
      <c r="N17" s="114"/>
      <c r="O17" s="114"/>
      <c r="P17" s="214" t="s">
        <v>647</v>
      </c>
      <c r="Q17" s="94"/>
      <c r="R17" s="94"/>
    </row>
    <row r="18" spans="2:18" ht="18.399999999999999" customHeight="1" x14ac:dyDescent="0.25">
      <c r="B18" s="150" t="s">
        <v>449</v>
      </c>
      <c r="C18" s="94"/>
      <c r="D18" s="94"/>
      <c r="E18" s="94"/>
      <c r="F18" s="94"/>
      <c r="G18" s="94"/>
      <c r="H18" s="94"/>
      <c r="I18" s="94"/>
      <c r="J18" s="94"/>
      <c r="K18" s="94"/>
      <c r="L18" s="97"/>
      <c r="M18" s="177"/>
      <c r="N18" s="94"/>
      <c r="O18" s="94"/>
      <c r="P18" s="178"/>
      <c r="Q18" s="94"/>
      <c r="R18" s="94"/>
    </row>
    <row r="19" spans="2:18" ht="18.399999999999999" customHeight="1" x14ac:dyDescent="0.25">
      <c r="B19" s="150" t="s">
        <v>450</v>
      </c>
      <c r="C19" s="94"/>
      <c r="D19" s="94"/>
      <c r="E19" s="94"/>
      <c r="F19" s="94"/>
      <c r="G19" s="94"/>
      <c r="H19" s="94"/>
      <c r="I19" s="94"/>
      <c r="J19" s="94"/>
      <c r="K19" s="94"/>
      <c r="L19" s="97"/>
      <c r="M19" s="177"/>
      <c r="N19" s="94"/>
      <c r="O19" s="94"/>
      <c r="P19" s="178"/>
      <c r="Q19" s="94"/>
      <c r="R19" s="94"/>
    </row>
    <row r="20" spans="2:18" ht="18.399999999999999" customHeight="1" x14ac:dyDescent="0.25">
      <c r="B20" s="150" t="s">
        <v>451</v>
      </c>
      <c r="C20" s="94"/>
      <c r="D20" s="94"/>
      <c r="E20" s="94"/>
      <c r="F20" s="94"/>
      <c r="G20" s="94"/>
      <c r="H20" s="94"/>
      <c r="I20" s="94"/>
      <c r="J20" s="94"/>
      <c r="K20" s="94"/>
      <c r="L20" s="97"/>
      <c r="M20" s="177"/>
      <c r="N20" s="94"/>
      <c r="O20" s="94"/>
      <c r="P20" s="178"/>
      <c r="Q20" s="94"/>
      <c r="R20" s="94"/>
    </row>
    <row r="21" spans="2:18" ht="18.399999999999999" customHeight="1" x14ac:dyDescent="0.25">
      <c r="B21" s="150" t="s">
        <v>452</v>
      </c>
      <c r="C21" s="94"/>
      <c r="D21" s="94"/>
      <c r="E21" s="94"/>
      <c r="F21" s="94"/>
      <c r="G21" s="94"/>
      <c r="H21" s="94"/>
      <c r="I21" s="94"/>
      <c r="J21" s="94"/>
      <c r="K21" s="94"/>
      <c r="L21" s="97"/>
      <c r="M21" s="177"/>
      <c r="N21" s="94"/>
      <c r="O21" s="94"/>
      <c r="P21" s="178"/>
      <c r="Q21" s="94"/>
      <c r="R21" s="94"/>
    </row>
    <row r="22" spans="2:18" ht="18.399999999999999" customHeight="1" x14ac:dyDescent="0.25">
      <c r="B22" s="150" t="s">
        <v>648</v>
      </c>
      <c r="C22" s="94"/>
      <c r="D22" s="94"/>
      <c r="E22" s="94"/>
      <c r="F22" s="94"/>
      <c r="G22" s="94"/>
      <c r="H22" s="94"/>
      <c r="I22" s="94"/>
      <c r="J22" s="94"/>
      <c r="K22" s="94"/>
      <c r="L22" s="97"/>
      <c r="M22" s="177"/>
      <c r="N22" s="94"/>
      <c r="O22" s="94"/>
      <c r="P22" s="178"/>
      <c r="Q22" s="94"/>
      <c r="R22" s="94"/>
    </row>
    <row r="23" spans="2:18" ht="18.399999999999999" customHeight="1" x14ac:dyDescent="0.25">
      <c r="B23" s="150" t="s">
        <v>454</v>
      </c>
      <c r="C23" s="94"/>
      <c r="D23" s="94"/>
      <c r="E23" s="94"/>
      <c r="F23" s="94"/>
      <c r="G23" s="94"/>
      <c r="H23" s="94"/>
      <c r="I23" s="94"/>
      <c r="J23" s="94"/>
      <c r="K23" s="94"/>
      <c r="L23" s="97"/>
      <c r="M23" s="177"/>
      <c r="N23" s="94"/>
      <c r="O23" s="94"/>
      <c r="P23" s="178"/>
      <c r="Q23" s="94"/>
      <c r="R23" s="94"/>
    </row>
    <row r="24" spans="2:18" ht="18.399999999999999" customHeight="1" x14ac:dyDescent="0.25">
      <c r="B24" s="150" t="s">
        <v>455</v>
      </c>
      <c r="C24" s="94"/>
      <c r="D24" s="94"/>
      <c r="E24" s="94"/>
      <c r="F24" s="94"/>
      <c r="G24" s="94"/>
      <c r="H24" s="94"/>
      <c r="I24" s="94"/>
      <c r="J24" s="94"/>
      <c r="K24" s="94"/>
      <c r="L24" s="97"/>
      <c r="M24" s="177"/>
      <c r="N24" s="94"/>
      <c r="O24" s="94"/>
      <c r="P24" s="178"/>
      <c r="Q24" s="94"/>
      <c r="R24" s="94"/>
    </row>
    <row r="25" spans="2:18" ht="18.399999999999999" customHeight="1" x14ac:dyDescent="0.25">
      <c r="B25" s="150" t="s">
        <v>456</v>
      </c>
      <c r="C25" s="94"/>
      <c r="D25" s="94"/>
      <c r="E25" s="94"/>
      <c r="F25" s="94"/>
      <c r="G25" s="94"/>
      <c r="H25" s="94"/>
      <c r="I25" s="94"/>
      <c r="J25" s="94"/>
      <c r="K25" s="94"/>
      <c r="L25" s="97"/>
      <c r="M25" s="177"/>
      <c r="N25" s="94"/>
      <c r="O25" s="94"/>
      <c r="P25" s="178"/>
      <c r="Q25" s="94"/>
      <c r="R25" s="94"/>
    </row>
    <row r="26" spans="2:18" ht="18.399999999999999" customHeight="1" x14ac:dyDescent="0.25">
      <c r="B26" s="150" t="s">
        <v>457</v>
      </c>
      <c r="C26" s="94"/>
      <c r="D26" s="94"/>
      <c r="E26" s="94"/>
      <c r="F26" s="94"/>
      <c r="G26" s="94"/>
      <c r="H26" s="94"/>
      <c r="I26" s="94"/>
      <c r="J26" s="94"/>
      <c r="K26" s="94"/>
      <c r="L26" s="97"/>
      <c r="M26" s="177"/>
      <c r="N26" s="94"/>
      <c r="O26" s="94"/>
      <c r="P26" s="178"/>
      <c r="Q26" s="94"/>
      <c r="R26" s="94"/>
    </row>
    <row r="27" spans="2:18" ht="18.399999999999999" customHeight="1" x14ac:dyDescent="0.25">
      <c r="B27" s="150" t="s">
        <v>458</v>
      </c>
      <c r="C27" s="94"/>
      <c r="D27" s="94"/>
      <c r="E27" s="94"/>
      <c r="F27" s="94"/>
      <c r="G27" s="94"/>
      <c r="H27" s="94"/>
      <c r="I27" s="94"/>
      <c r="J27" s="94"/>
      <c r="K27" s="94"/>
      <c r="L27" s="97"/>
      <c r="M27" s="177"/>
      <c r="N27" s="94"/>
      <c r="O27" s="94"/>
      <c r="P27" s="178"/>
      <c r="Q27" s="94"/>
      <c r="R27" s="94"/>
    </row>
    <row r="28" spans="2:18" ht="18.399999999999999" customHeight="1" x14ac:dyDescent="0.25">
      <c r="B28" s="150" t="s">
        <v>459</v>
      </c>
      <c r="C28" s="94"/>
      <c r="D28" s="94"/>
      <c r="E28" s="94"/>
      <c r="F28" s="94"/>
      <c r="G28" s="94"/>
      <c r="H28" s="94"/>
      <c r="I28" s="94"/>
      <c r="J28" s="94"/>
      <c r="K28" s="94"/>
      <c r="L28" s="97"/>
      <c r="M28" s="177"/>
      <c r="N28" s="94"/>
      <c r="O28" s="94"/>
      <c r="P28" s="178"/>
      <c r="Q28" s="94"/>
      <c r="R28" s="94"/>
    </row>
    <row r="29" spans="2:18" ht="18.399999999999999" customHeight="1" x14ac:dyDescent="0.25">
      <c r="B29" s="150" t="s">
        <v>460</v>
      </c>
      <c r="C29" s="94"/>
      <c r="D29" s="94"/>
      <c r="E29" s="94"/>
      <c r="F29" s="94"/>
      <c r="G29" s="94"/>
      <c r="H29" s="94"/>
      <c r="I29" s="94"/>
      <c r="J29" s="94"/>
      <c r="K29" s="94"/>
      <c r="L29" s="97"/>
      <c r="M29" s="177"/>
      <c r="N29" s="94"/>
      <c r="O29" s="94"/>
      <c r="P29" s="178"/>
      <c r="Q29" s="94"/>
      <c r="R29" s="94"/>
    </row>
    <row r="30" spans="2:18" ht="18.399999999999999" customHeight="1" x14ac:dyDescent="0.25">
      <c r="B30" s="150" t="s">
        <v>461</v>
      </c>
      <c r="C30" s="94"/>
      <c r="D30" s="94"/>
      <c r="E30" s="94"/>
      <c r="F30" s="94"/>
      <c r="G30" s="94"/>
      <c r="H30" s="94"/>
      <c r="I30" s="94"/>
      <c r="J30" s="94"/>
      <c r="K30" s="94"/>
      <c r="L30" s="97"/>
      <c r="M30" s="177"/>
      <c r="N30" s="94"/>
      <c r="O30" s="94"/>
      <c r="P30" s="178"/>
      <c r="Q30" s="94"/>
      <c r="R30" s="94"/>
    </row>
    <row r="31" spans="2:18" ht="18.399999999999999" customHeight="1" x14ac:dyDescent="0.25">
      <c r="B31" s="150" t="s">
        <v>462</v>
      </c>
      <c r="C31" s="94"/>
      <c r="D31" s="94"/>
      <c r="E31" s="94"/>
      <c r="F31" s="94"/>
      <c r="G31" s="94"/>
      <c r="H31" s="94"/>
      <c r="I31" s="94"/>
      <c r="J31" s="94"/>
      <c r="K31" s="94"/>
      <c r="L31" s="97"/>
      <c r="M31" s="177"/>
      <c r="N31" s="94"/>
      <c r="O31" s="94"/>
      <c r="P31" s="178"/>
      <c r="Q31" s="94"/>
      <c r="R31" s="94"/>
    </row>
    <row r="32" spans="2:18" ht="18.399999999999999" customHeight="1" x14ac:dyDescent="0.25">
      <c r="B32" s="150" t="s">
        <v>463</v>
      </c>
      <c r="C32" s="94"/>
      <c r="D32" s="94"/>
      <c r="E32" s="94"/>
      <c r="F32" s="94"/>
      <c r="G32" s="94"/>
      <c r="H32" s="94"/>
      <c r="I32" s="94"/>
      <c r="J32" s="94"/>
      <c r="K32" s="94"/>
      <c r="L32" s="97"/>
      <c r="M32" s="177"/>
      <c r="N32" s="94"/>
      <c r="O32" s="94"/>
      <c r="P32" s="178"/>
      <c r="Q32" s="94"/>
      <c r="R32" s="94"/>
    </row>
    <row r="33" spans="1:18" ht="18.399999999999999" customHeight="1" x14ac:dyDescent="0.25">
      <c r="B33" s="150" t="s">
        <v>464</v>
      </c>
      <c r="C33" s="94"/>
      <c r="D33" s="94"/>
      <c r="E33" s="94"/>
      <c r="F33" s="94"/>
      <c r="G33" s="94"/>
      <c r="H33" s="94"/>
      <c r="I33" s="94"/>
      <c r="J33" s="94"/>
      <c r="K33" s="94"/>
      <c r="L33" s="97"/>
      <c r="M33" s="177"/>
      <c r="N33" s="94"/>
      <c r="O33" s="94"/>
      <c r="P33" s="178"/>
      <c r="Q33" s="94"/>
      <c r="R33" s="94"/>
    </row>
    <row r="34" spans="1:18" ht="18.399999999999999" customHeight="1" x14ac:dyDescent="0.25">
      <c r="B34" s="150" t="s">
        <v>649</v>
      </c>
      <c r="C34" s="94"/>
      <c r="D34" s="94"/>
      <c r="E34" s="94"/>
      <c r="F34" s="94"/>
      <c r="G34" s="94"/>
      <c r="H34" s="94"/>
      <c r="I34" s="94"/>
      <c r="J34" s="94"/>
      <c r="K34" s="94"/>
      <c r="L34" s="97"/>
      <c r="M34" s="177"/>
      <c r="N34" s="94"/>
      <c r="O34" s="94"/>
      <c r="P34" s="178"/>
      <c r="Q34" s="94"/>
      <c r="R34" s="94"/>
    </row>
    <row r="35" spans="1:18" ht="18.399999999999999" customHeight="1" x14ac:dyDescent="0.25">
      <c r="B35" s="150" t="s">
        <v>466</v>
      </c>
      <c r="C35" s="94"/>
      <c r="D35" s="94"/>
      <c r="E35" s="94"/>
      <c r="F35" s="94"/>
      <c r="G35" s="94"/>
      <c r="H35" s="94"/>
      <c r="I35" s="94"/>
      <c r="J35" s="94"/>
      <c r="K35" s="94"/>
      <c r="L35" s="97"/>
      <c r="M35" s="177"/>
      <c r="N35" s="94"/>
      <c r="O35" s="94"/>
      <c r="P35" s="178"/>
      <c r="Q35" s="94"/>
      <c r="R35" s="94"/>
    </row>
    <row r="36" spans="1:18" ht="18.399999999999999" customHeight="1" x14ac:dyDescent="0.25">
      <c r="B36" s="150" t="s">
        <v>467</v>
      </c>
      <c r="C36" s="94"/>
      <c r="D36" s="94"/>
      <c r="E36" s="94"/>
      <c r="F36" s="94"/>
      <c r="G36" s="94"/>
      <c r="H36" s="94"/>
      <c r="I36" s="94"/>
      <c r="J36" s="94"/>
      <c r="K36" s="94"/>
      <c r="L36" s="97"/>
      <c r="M36" s="177"/>
      <c r="N36" s="94"/>
      <c r="O36" s="94"/>
      <c r="P36" s="178"/>
      <c r="Q36" s="94"/>
      <c r="R36" s="94"/>
    </row>
    <row r="37" spans="1:18" ht="18.399999999999999" customHeight="1" x14ac:dyDescent="0.25">
      <c r="B37" s="150" t="s">
        <v>468</v>
      </c>
      <c r="C37" s="94"/>
      <c r="D37" s="94"/>
      <c r="E37" s="94"/>
      <c r="F37" s="94"/>
      <c r="G37" s="94"/>
      <c r="H37" s="94"/>
      <c r="I37" s="94"/>
      <c r="J37" s="94"/>
      <c r="K37" s="94"/>
      <c r="L37" s="97"/>
      <c r="M37" s="177"/>
      <c r="N37" s="94"/>
      <c r="O37" s="94"/>
      <c r="P37" s="178"/>
      <c r="Q37" s="94"/>
      <c r="R37" s="94"/>
    </row>
    <row r="38" spans="1:18" ht="18.399999999999999" customHeight="1" x14ac:dyDescent="0.25">
      <c r="B38" s="150" t="s">
        <v>469</v>
      </c>
      <c r="C38" s="94"/>
      <c r="D38" s="94"/>
      <c r="E38" s="94"/>
      <c r="F38" s="94"/>
      <c r="G38" s="94"/>
      <c r="H38" s="94"/>
      <c r="I38" s="94"/>
      <c r="J38" s="94"/>
      <c r="K38" s="94"/>
      <c r="L38" s="97"/>
      <c r="M38" s="177"/>
      <c r="N38" s="94"/>
      <c r="O38" s="94"/>
      <c r="P38" s="178"/>
      <c r="Q38" s="94"/>
      <c r="R38" s="94"/>
    </row>
    <row r="39" spans="1:18" ht="18.399999999999999" customHeight="1" x14ac:dyDescent="0.25">
      <c r="B39" s="150" t="s">
        <v>650</v>
      </c>
      <c r="C39" s="94"/>
      <c r="D39" s="94"/>
      <c r="E39" s="94"/>
      <c r="F39" s="94"/>
      <c r="G39" s="94"/>
      <c r="H39" s="94"/>
      <c r="I39" s="94"/>
      <c r="J39" s="94"/>
      <c r="K39" s="94"/>
      <c r="L39" s="97"/>
      <c r="M39" s="177"/>
      <c r="N39" s="94"/>
      <c r="O39" s="94"/>
      <c r="P39" s="178"/>
      <c r="Q39" s="94"/>
      <c r="R39" s="94"/>
    </row>
    <row r="40" spans="1:18" ht="18.399999999999999" customHeight="1" x14ac:dyDescent="0.25">
      <c r="B40" s="150" t="s">
        <v>651</v>
      </c>
      <c r="C40" s="94"/>
      <c r="D40" s="94"/>
      <c r="E40" s="94"/>
      <c r="F40" s="94"/>
      <c r="G40" s="94"/>
      <c r="H40" s="94"/>
      <c r="I40" s="94"/>
      <c r="J40" s="94"/>
      <c r="K40" s="94"/>
      <c r="L40" s="97"/>
      <c r="M40" s="177"/>
      <c r="N40" s="94"/>
      <c r="O40" s="94"/>
      <c r="P40" s="178"/>
      <c r="Q40" s="94"/>
      <c r="R40" s="94"/>
    </row>
    <row r="41" spans="1:18" ht="18.399999999999999" customHeight="1" x14ac:dyDescent="0.25">
      <c r="B41" s="150" t="s">
        <v>652</v>
      </c>
      <c r="C41" s="94"/>
      <c r="D41" s="94"/>
      <c r="E41" s="94"/>
      <c r="F41" s="94"/>
      <c r="G41" s="94"/>
      <c r="H41" s="94"/>
      <c r="I41" s="94"/>
      <c r="J41" s="94"/>
      <c r="K41" s="94"/>
      <c r="L41" s="97"/>
      <c r="M41" s="177"/>
      <c r="N41" s="94"/>
      <c r="O41" s="94"/>
      <c r="P41" s="178"/>
      <c r="Q41" s="94"/>
      <c r="R41" s="94"/>
    </row>
    <row r="42" spans="1:18" ht="18.399999999999999" customHeight="1" x14ac:dyDescent="0.25">
      <c r="B42" s="150" t="s">
        <v>653</v>
      </c>
      <c r="C42" s="94"/>
      <c r="D42" s="94"/>
      <c r="E42" s="94"/>
      <c r="F42" s="94"/>
      <c r="G42" s="94"/>
      <c r="H42" s="94"/>
      <c r="I42" s="94"/>
      <c r="J42" s="94"/>
      <c r="K42" s="94"/>
      <c r="L42" s="97"/>
      <c r="M42" s="177"/>
      <c r="N42" s="94"/>
      <c r="O42" s="94"/>
      <c r="P42" s="178"/>
      <c r="Q42" s="94"/>
      <c r="R42" s="94"/>
    </row>
    <row r="43" spans="1:18" ht="18.399999999999999" customHeight="1" x14ac:dyDescent="0.25">
      <c r="B43" s="150" t="s">
        <v>654</v>
      </c>
      <c r="C43" s="94"/>
      <c r="D43" s="94"/>
      <c r="E43" s="94"/>
      <c r="F43" s="94"/>
      <c r="G43" s="94"/>
      <c r="H43" s="94"/>
      <c r="I43" s="94"/>
      <c r="J43" s="94"/>
      <c r="K43" s="94"/>
      <c r="L43" s="97"/>
      <c r="M43" s="260"/>
      <c r="N43" s="95"/>
      <c r="O43" s="95"/>
      <c r="P43" s="261"/>
      <c r="Q43" s="95"/>
      <c r="R43" s="95"/>
    </row>
    <row r="44" spans="1:18" ht="18.399999999999999" customHeight="1" x14ac:dyDescent="0.25">
      <c r="B44" s="211" t="s">
        <v>276</v>
      </c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178">
        <f>M16+SUM(M18:O43)-SUM(P18:R43)</f>
        <v>0</v>
      </c>
      <c r="N44" s="94"/>
      <c r="O44" s="94"/>
      <c r="P44" s="94"/>
      <c r="Q44" s="94"/>
      <c r="R44" s="94"/>
    </row>
    <row r="45" spans="1:18" x14ac:dyDescent="0.3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 spans="1:18" ht="25.15" customHeight="1" x14ac:dyDescent="0.25">
      <c r="B46" s="152" t="s">
        <v>277</v>
      </c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</row>
    <row r="47" spans="1:18" ht="97.15" customHeight="1" x14ac:dyDescent="0.25">
      <c r="A47" s="26" t="str">
        <f>_xlfn.CONCAT(MAX($A$1:A46),"-3")</f>
        <v>1-3</v>
      </c>
      <c r="B47" s="47" t="s">
        <v>655</v>
      </c>
      <c r="C47" s="185" t="s">
        <v>656</v>
      </c>
      <c r="D47" s="134"/>
      <c r="E47" s="175" t="s">
        <v>657</v>
      </c>
      <c r="F47" s="134"/>
      <c r="G47" s="185" t="s">
        <v>658</v>
      </c>
      <c r="H47" s="114"/>
      <c r="I47" s="134"/>
      <c r="J47" s="185" t="s">
        <v>659</v>
      </c>
      <c r="K47" s="134"/>
      <c r="L47" s="185" t="s">
        <v>660</v>
      </c>
      <c r="M47" s="134"/>
      <c r="N47" s="113" t="s">
        <v>661</v>
      </c>
      <c r="O47" s="114"/>
      <c r="P47" s="114"/>
      <c r="Q47" s="113" t="s">
        <v>662</v>
      </c>
      <c r="R47" s="114"/>
    </row>
    <row r="48" spans="1:18" ht="25.15" customHeight="1" x14ac:dyDescent="0.25">
      <c r="B48" s="48"/>
      <c r="C48" s="259"/>
      <c r="D48" s="97"/>
      <c r="E48" s="106"/>
      <c r="F48" s="97"/>
      <c r="G48" s="106"/>
      <c r="H48" s="94"/>
      <c r="I48" s="97"/>
      <c r="J48" s="106"/>
      <c r="K48" s="97"/>
      <c r="L48" s="177"/>
      <c r="M48" s="97"/>
      <c r="N48" s="178"/>
      <c r="O48" s="94"/>
      <c r="P48" s="94"/>
      <c r="Q48" s="178"/>
      <c r="R48" s="94"/>
    </row>
    <row r="49" spans="1:18" ht="25.15" customHeight="1" x14ac:dyDescent="0.25">
      <c r="B49" s="48"/>
      <c r="C49" s="259"/>
      <c r="D49" s="97"/>
      <c r="E49" s="106"/>
      <c r="F49" s="97"/>
      <c r="G49" s="106"/>
      <c r="H49" s="94"/>
      <c r="I49" s="97"/>
      <c r="J49" s="106"/>
      <c r="K49" s="97"/>
      <c r="L49" s="177"/>
      <c r="M49" s="97"/>
      <c r="N49" s="178"/>
      <c r="O49" s="94"/>
      <c r="P49" s="94"/>
      <c r="Q49" s="178"/>
      <c r="R49" s="94"/>
    </row>
    <row r="50" spans="1:18" ht="25.15" customHeight="1" x14ac:dyDescent="0.25">
      <c r="B50" s="48"/>
      <c r="C50" s="259"/>
      <c r="D50" s="97"/>
      <c r="E50" s="106"/>
      <c r="F50" s="97"/>
      <c r="G50" s="106"/>
      <c r="H50" s="94"/>
      <c r="I50" s="97"/>
      <c r="J50" s="106"/>
      <c r="K50" s="97"/>
      <c r="L50" s="177"/>
      <c r="M50" s="97"/>
      <c r="N50" s="178"/>
      <c r="O50" s="94"/>
      <c r="P50" s="94"/>
      <c r="Q50" s="178"/>
      <c r="R50" s="94"/>
    </row>
    <row r="51" spans="1:18" ht="25.15" customHeight="1" x14ac:dyDescent="0.25">
      <c r="B51" s="48"/>
      <c r="C51" s="259"/>
      <c r="D51" s="97"/>
      <c r="E51" s="106"/>
      <c r="F51" s="97"/>
      <c r="G51" s="106"/>
      <c r="H51" s="94"/>
      <c r="I51" s="97"/>
      <c r="J51" s="106"/>
      <c r="K51" s="97"/>
      <c r="L51" s="177"/>
      <c r="M51" s="97"/>
      <c r="N51" s="178"/>
      <c r="O51" s="94"/>
      <c r="P51" s="94"/>
      <c r="Q51" s="178"/>
      <c r="R51" s="94"/>
    </row>
    <row r="52" spans="1:18" x14ac:dyDescent="0.3">
      <c r="A52" s="26" t="str">
        <f>_xlfn.CONCAT(MAX($A$1:A51),"-4")</f>
        <v>1-4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 spans="1:18" ht="25.15" customHeight="1" x14ac:dyDescent="0.25">
      <c r="B53" s="152" t="s">
        <v>278</v>
      </c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</row>
    <row r="54" spans="1:18" ht="83.45" customHeight="1" x14ac:dyDescent="0.25">
      <c r="A54" s="26" t="str">
        <f>_xlfn.CONCAT(MAX($A$1:A53),"-5")</f>
        <v>1-5</v>
      </c>
      <c r="B54" s="47" t="s">
        <v>663</v>
      </c>
      <c r="C54" s="185" t="s">
        <v>664</v>
      </c>
      <c r="D54" s="114"/>
      <c r="E54" s="134"/>
      <c r="F54" s="185" t="s">
        <v>665</v>
      </c>
      <c r="G54" s="114"/>
      <c r="H54" s="134"/>
      <c r="I54" s="185" t="s">
        <v>666</v>
      </c>
      <c r="J54" s="114"/>
      <c r="K54" s="134"/>
      <c r="L54" s="113" t="s">
        <v>667</v>
      </c>
      <c r="M54" s="114"/>
      <c r="N54" s="114"/>
      <c r="O54" s="114"/>
      <c r="P54" s="113" t="s">
        <v>668</v>
      </c>
      <c r="Q54" s="114"/>
      <c r="R54" s="114"/>
    </row>
    <row r="55" spans="1:18" ht="25.15" customHeight="1" x14ac:dyDescent="0.25">
      <c r="B55" s="48"/>
      <c r="C55" s="96"/>
      <c r="D55" s="94"/>
      <c r="E55" s="97"/>
      <c r="F55" s="106"/>
      <c r="G55" s="94"/>
      <c r="H55" s="97"/>
      <c r="I55" s="106"/>
      <c r="J55" s="94"/>
      <c r="K55" s="97"/>
      <c r="L55" s="178"/>
      <c r="M55" s="94"/>
      <c r="N55" s="94"/>
      <c r="O55" s="94"/>
      <c r="P55" s="178"/>
      <c r="Q55" s="94"/>
      <c r="R55" s="94"/>
    </row>
    <row r="56" spans="1:18" ht="25.15" customHeight="1" x14ac:dyDescent="0.25">
      <c r="B56" s="48"/>
      <c r="C56" s="96"/>
      <c r="D56" s="94"/>
      <c r="E56" s="97"/>
      <c r="F56" s="106"/>
      <c r="G56" s="94"/>
      <c r="H56" s="97"/>
      <c r="I56" s="106"/>
      <c r="J56" s="94"/>
      <c r="K56" s="97"/>
      <c r="L56" s="178"/>
      <c r="M56" s="94"/>
      <c r="N56" s="94"/>
      <c r="O56" s="94"/>
      <c r="P56" s="178"/>
      <c r="Q56" s="94"/>
      <c r="R56" s="94"/>
    </row>
    <row r="57" spans="1:18" ht="25.15" customHeight="1" x14ac:dyDescent="0.25">
      <c r="B57" s="48"/>
      <c r="C57" s="96"/>
      <c r="D57" s="94"/>
      <c r="E57" s="97"/>
      <c r="F57" s="106"/>
      <c r="G57" s="94"/>
      <c r="H57" s="97"/>
      <c r="I57" s="106"/>
      <c r="J57" s="94"/>
      <c r="K57" s="97"/>
      <c r="L57" s="178"/>
      <c r="M57" s="94"/>
      <c r="N57" s="94"/>
      <c r="O57" s="94"/>
      <c r="P57" s="178"/>
      <c r="Q57" s="94"/>
      <c r="R57" s="94"/>
    </row>
    <row r="58" spans="1:18" ht="25.15" customHeight="1" x14ac:dyDescent="0.25">
      <c r="B58" s="48"/>
      <c r="C58" s="96"/>
      <c r="D58" s="94"/>
      <c r="E58" s="97"/>
      <c r="F58" s="106"/>
      <c r="G58" s="94"/>
      <c r="H58" s="97"/>
      <c r="I58" s="106"/>
      <c r="J58" s="94"/>
      <c r="K58" s="97"/>
      <c r="L58" s="178"/>
      <c r="M58" s="94"/>
      <c r="N58" s="94"/>
      <c r="O58" s="94"/>
      <c r="P58" s="178"/>
      <c r="Q58" s="94"/>
      <c r="R58" s="94"/>
    </row>
    <row r="59" spans="1:18" x14ac:dyDescent="0.3">
      <c r="A59" s="26" t="str">
        <f>_xlfn.CONCAT(MAX($A$1:A58),"-6")</f>
        <v>1-6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</row>
    <row r="60" spans="1:18" ht="25.15" customHeight="1" x14ac:dyDescent="0.25">
      <c r="B60" s="152" t="s">
        <v>279</v>
      </c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</row>
    <row r="61" spans="1:18" ht="43.9" customHeight="1" x14ac:dyDescent="0.25">
      <c r="A61" s="26" t="str">
        <f>_xlfn.CONCAT(MAX($A$1:A60),"-7")</f>
        <v>1-7</v>
      </c>
      <c r="B61" s="201" t="s">
        <v>669</v>
      </c>
      <c r="C61" s="114"/>
      <c r="D61" s="134"/>
      <c r="E61" s="185" t="s">
        <v>670</v>
      </c>
      <c r="F61" s="114"/>
      <c r="G61" s="134"/>
      <c r="H61" s="185" t="s">
        <v>671</v>
      </c>
      <c r="I61" s="114"/>
      <c r="J61" s="134"/>
      <c r="K61" s="185" t="s">
        <v>672</v>
      </c>
      <c r="L61" s="114"/>
      <c r="M61" s="134"/>
      <c r="N61" s="113" t="s">
        <v>673</v>
      </c>
      <c r="O61" s="114"/>
      <c r="P61" s="114"/>
      <c r="Q61" s="114"/>
      <c r="R61" s="114"/>
    </row>
    <row r="62" spans="1:18" ht="25.15" customHeight="1" x14ac:dyDescent="0.25">
      <c r="B62" s="96"/>
      <c r="C62" s="94"/>
      <c r="D62" s="97"/>
      <c r="E62" s="106"/>
      <c r="F62" s="94"/>
      <c r="G62" s="97"/>
      <c r="H62" s="106"/>
      <c r="I62" s="94"/>
      <c r="J62" s="97"/>
      <c r="K62" s="183"/>
      <c r="L62" s="94"/>
      <c r="M62" s="97"/>
      <c r="N62" s="178"/>
      <c r="O62" s="94"/>
      <c r="P62" s="94"/>
      <c r="Q62" s="94"/>
      <c r="R62" s="94"/>
    </row>
    <row r="63" spans="1:18" ht="25.15" customHeight="1" x14ac:dyDescent="0.25">
      <c r="B63" s="96"/>
      <c r="C63" s="94"/>
      <c r="D63" s="97"/>
      <c r="E63" s="106"/>
      <c r="F63" s="94"/>
      <c r="G63" s="97"/>
      <c r="H63" s="106"/>
      <c r="I63" s="94"/>
      <c r="J63" s="97"/>
      <c r="K63" s="183"/>
      <c r="L63" s="94"/>
      <c r="M63" s="97"/>
      <c r="N63" s="178"/>
      <c r="O63" s="94"/>
      <c r="P63" s="94"/>
      <c r="Q63" s="94"/>
      <c r="R63" s="94"/>
    </row>
    <row r="64" spans="1:18" ht="25.15" customHeight="1" x14ac:dyDescent="0.25">
      <c r="B64" s="96"/>
      <c r="C64" s="94"/>
      <c r="D64" s="97"/>
      <c r="E64" s="106"/>
      <c r="F64" s="94"/>
      <c r="G64" s="97"/>
      <c r="H64" s="106"/>
      <c r="I64" s="94"/>
      <c r="J64" s="97"/>
      <c r="K64" s="183"/>
      <c r="L64" s="94"/>
      <c r="M64" s="97"/>
      <c r="N64" s="178"/>
      <c r="O64" s="94"/>
      <c r="P64" s="94"/>
      <c r="Q64" s="94"/>
      <c r="R64" s="94"/>
    </row>
    <row r="65" spans="1:18" x14ac:dyDescent="0.3">
      <c r="A65" s="26" t="str">
        <f>_xlfn.CONCAT(MAX($A$1:A64),"-8")</f>
        <v>1-8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</row>
    <row r="66" spans="1:18" ht="25.15" customHeight="1" x14ac:dyDescent="0.25">
      <c r="B66" s="152" t="s">
        <v>280</v>
      </c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</row>
    <row r="67" spans="1:18" ht="25.15" customHeight="1" x14ac:dyDescent="0.25">
      <c r="B67" s="152" t="s">
        <v>281</v>
      </c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</row>
    <row r="68" spans="1:18" ht="25.15" customHeight="1" x14ac:dyDescent="0.25">
      <c r="B68" s="253" t="s">
        <v>273</v>
      </c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190"/>
      <c r="P68" s="94"/>
      <c r="Q68" s="94"/>
      <c r="R68" s="94"/>
    </row>
    <row r="69" spans="1:18" ht="25.15" customHeight="1" x14ac:dyDescent="0.25">
      <c r="B69" s="253" t="s">
        <v>282</v>
      </c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189"/>
      <c r="P69" s="94"/>
      <c r="Q69" s="94"/>
      <c r="R69" s="94"/>
    </row>
    <row r="70" spans="1:18" ht="25.15" customHeight="1" x14ac:dyDescent="0.25">
      <c r="B70" s="211" t="s">
        <v>283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7"/>
      <c r="O70" s="212" t="s">
        <v>646</v>
      </c>
      <c r="P70" s="97"/>
      <c r="Q70" s="236" t="s">
        <v>647</v>
      </c>
      <c r="R70" s="94"/>
    </row>
    <row r="71" spans="1:18" ht="25.15" customHeight="1" x14ac:dyDescent="0.25">
      <c r="B71" s="257" t="s">
        <v>674</v>
      </c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7"/>
      <c r="O71" s="177"/>
      <c r="P71" s="97"/>
      <c r="Q71" s="189"/>
      <c r="R71" s="94"/>
    </row>
    <row r="72" spans="1:18" ht="25.15" customHeight="1" x14ac:dyDescent="0.25">
      <c r="B72" s="257" t="s">
        <v>675</v>
      </c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7"/>
      <c r="O72" s="177"/>
      <c r="P72" s="97"/>
      <c r="Q72" s="189"/>
      <c r="R72" s="94"/>
    </row>
    <row r="73" spans="1:18" ht="25.15" customHeight="1" x14ac:dyDescent="0.25">
      <c r="B73" s="257" t="s">
        <v>676</v>
      </c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7"/>
      <c r="O73" s="177"/>
      <c r="P73" s="97"/>
      <c r="Q73" s="189"/>
      <c r="R73" s="94"/>
    </row>
    <row r="74" spans="1:18" ht="25.15" customHeight="1" x14ac:dyDescent="0.25">
      <c r="B74" s="257" t="s">
        <v>677</v>
      </c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7"/>
      <c r="O74" s="177"/>
      <c r="P74" s="97"/>
      <c r="Q74" s="189"/>
      <c r="R74" s="94"/>
    </row>
    <row r="75" spans="1:18" ht="25.15" customHeight="1" x14ac:dyDescent="0.25">
      <c r="B75" s="257" t="s">
        <v>678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7"/>
      <c r="O75" s="177"/>
      <c r="P75" s="97"/>
      <c r="Q75" s="189"/>
      <c r="R75" s="94"/>
    </row>
    <row r="76" spans="1:18" ht="28.9" customHeight="1" x14ac:dyDescent="0.25">
      <c r="B76" s="257" t="s">
        <v>679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7"/>
      <c r="O76" s="177"/>
      <c r="P76" s="97"/>
      <c r="Q76" s="189"/>
      <c r="R76" s="94"/>
    </row>
    <row r="77" spans="1:18" ht="32.450000000000003" customHeight="1" x14ac:dyDescent="0.25">
      <c r="B77" s="257" t="s">
        <v>680</v>
      </c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7"/>
      <c r="O77" s="177"/>
      <c r="P77" s="97"/>
      <c r="Q77" s="189"/>
      <c r="R77" s="94"/>
    </row>
    <row r="78" spans="1:18" ht="25.15" customHeight="1" x14ac:dyDescent="0.25">
      <c r="B78" s="257" t="s">
        <v>681</v>
      </c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7"/>
      <c r="O78" s="177"/>
      <c r="P78" s="97"/>
      <c r="Q78" s="189"/>
      <c r="R78" s="94"/>
    </row>
    <row r="79" spans="1:18" ht="25.15" customHeight="1" x14ac:dyDescent="0.25">
      <c r="B79" s="257" t="s">
        <v>682</v>
      </c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7"/>
      <c r="O79" s="177"/>
      <c r="P79" s="97"/>
      <c r="Q79" s="189"/>
      <c r="R79" s="94"/>
    </row>
    <row r="80" spans="1:18" ht="25.15" customHeight="1" x14ac:dyDescent="0.25">
      <c r="B80" s="257" t="s">
        <v>683</v>
      </c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7"/>
      <c r="O80" s="177"/>
      <c r="P80" s="97"/>
      <c r="Q80" s="189"/>
      <c r="R80" s="94"/>
    </row>
    <row r="81" spans="1:18" ht="25.15" customHeight="1" x14ac:dyDescent="0.25">
      <c r="B81" s="257" t="s">
        <v>684</v>
      </c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7"/>
      <c r="O81" s="177"/>
      <c r="P81" s="97"/>
      <c r="Q81" s="189"/>
      <c r="R81" s="94"/>
    </row>
    <row r="82" spans="1:18" ht="25.15" customHeight="1" x14ac:dyDescent="0.25">
      <c r="B82" s="257" t="s">
        <v>685</v>
      </c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7"/>
      <c r="O82" s="177"/>
      <c r="P82" s="97"/>
      <c r="Q82" s="189"/>
      <c r="R82" s="94"/>
    </row>
    <row r="83" spans="1:18" ht="25.15" customHeight="1" x14ac:dyDescent="0.25">
      <c r="B83" s="257" t="s">
        <v>686</v>
      </c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7"/>
      <c r="O83" s="177"/>
      <c r="P83" s="97"/>
      <c r="Q83" s="189"/>
      <c r="R83" s="94"/>
    </row>
    <row r="84" spans="1:18" ht="25.15" customHeight="1" x14ac:dyDescent="0.25">
      <c r="B84" s="257" t="s">
        <v>687</v>
      </c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7"/>
      <c r="O84" s="177"/>
      <c r="P84" s="97"/>
      <c r="Q84" s="189"/>
      <c r="R84" s="94"/>
    </row>
    <row r="85" spans="1:18" ht="25.15" customHeight="1" x14ac:dyDescent="0.25">
      <c r="B85" s="257" t="s">
        <v>688</v>
      </c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7"/>
      <c r="O85" s="177"/>
      <c r="P85" s="97"/>
      <c r="Q85" s="189"/>
      <c r="R85" s="94"/>
    </row>
    <row r="86" spans="1:18" ht="25.15" customHeight="1" x14ac:dyDescent="0.25">
      <c r="B86" s="257" t="s">
        <v>689</v>
      </c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7"/>
      <c r="O86" s="177"/>
      <c r="P86" s="97"/>
      <c r="Q86" s="189"/>
      <c r="R86" s="94"/>
    </row>
    <row r="87" spans="1:18" ht="31.15" customHeight="1" x14ac:dyDescent="0.25">
      <c r="B87" s="257" t="s">
        <v>690</v>
      </c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7"/>
      <c r="O87" s="177"/>
      <c r="P87" s="97"/>
      <c r="Q87" s="208"/>
      <c r="R87" s="95"/>
    </row>
    <row r="88" spans="1:18" ht="25.15" customHeight="1" x14ac:dyDescent="0.25">
      <c r="B88" s="211" t="s">
        <v>284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189">
        <f>O69+SUM(O71:P87)-SUM(Q71:R87)</f>
        <v>0</v>
      </c>
      <c r="P88" s="94"/>
      <c r="Q88" s="94"/>
      <c r="R88" s="94"/>
    </row>
    <row r="89" spans="1:18" ht="13.9" customHeight="1" x14ac:dyDescent="0.25">
      <c r="B89" s="50"/>
      <c r="C89" s="40"/>
      <c r="D89" s="40"/>
      <c r="E89" s="40"/>
      <c r="F89" s="40"/>
      <c r="G89" s="40"/>
      <c r="H89" s="40"/>
      <c r="I89" s="40"/>
      <c r="J89" s="51"/>
      <c r="K89" s="51"/>
      <c r="L89" s="51"/>
      <c r="M89" s="51"/>
      <c r="N89" s="51"/>
      <c r="O89" s="51"/>
      <c r="P89" s="51"/>
      <c r="Q89" s="51"/>
      <c r="R89" s="51"/>
    </row>
    <row r="90" spans="1:18" ht="22.15" customHeight="1" x14ac:dyDescent="0.25">
      <c r="B90" s="152" t="s">
        <v>285</v>
      </c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</row>
    <row r="91" spans="1:18" ht="59.45" customHeight="1" x14ac:dyDescent="0.25">
      <c r="A91" s="26" t="str">
        <f>_xlfn.CONCAT(MAX($A$1:A90),"-9")</f>
        <v>1-9</v>
      </c>
      <c r="B91" s="47" t="s">
        <v>691</v>
      </c>
      <c r="C91" s="185" t="s">
        <v>692</v>
      </c>
      <c r="D91" s="134"/>
      <c r="E91" s="175" t="s">
        <v>693</v>
      </c>
      <c r="F91" s="134"/>
      <c r="G91" s="185" t="s">
        <v>694</v>
      </c>
      <c r="H91" s="114"/>
      <c r="I91" s="134"/>
      <c r="J91" s="185" t="s">
        <v>695</v>
      </c>
      <c r="K91" s="134"/>
      <c r="L91" s="185" t="s">
        <v>660</v>
      </c>
      <c r="M91" s="134"/>
      <c r="N91" s="113" t="s">
        <v>661</v>
      </c>
      <c r="O91" s="114"/>
      <c r="P91" s="114"/>
      <c r="Q91" s="113" t="s">
        <v>696</v>
      </c>
      <c r="R91" s="114"/>
    </row>
    <row r="92" spans="1:18" ht="22.15" customHeight="1" x14ac:dyDescent="0.25">
      <c r="B92" s="48"/>
      <c r="C92" s="177"/>
      <c r="D92" s="97"/>
      <c r="E92" s="106"/>
      <c r="F92" s="97"/>
      <c r="G92" s="106"/>
      <c r="H92" s="94"/>
      <c r="I92" s="97"/>
      <c r="J92" s="106"/>
      <c r="K92" s="97"/>
      <c r="L92" s="177"/>
      <c r="M92" s="97"/>
      <c r="N92" s="178"/>
      <c r="O92" s="94"/>
      <c r="P92" s="94"/>
      <c r="Q92" s="178"/>
      <c r="R92" s="94"/>
    </row>
    <row r="93" spans="1:18" x14ac:dyDescent="0.3">
      <c r="A93" s="26" t="str">
        <f>_xlfn.CONCAT(MAX($A$1:A92),"-10")</f>
        <v>1-10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</row>
    <row r="94" spans="1:18" ht="22.15" customHeight="1" x14ac:dyDescent="0.25">
      <c r="B94" s="200" t="s">
        <v>286</v>
      </c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</row>
    <row r="95" spans="1:18" ht="22.15" customHeight="1" x14ac:dyDescent="0.25">
      <c r="B95" s="253" t="s">
        <v>273</v>
      </c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7"/>
      <c r="O95" s="190"/>
      <c r="P95" s="94"/>
      <c r="Q95" s="94"/>
      <c r="R95" s="94"/>
    </row>
    <row r="96" spans="1:18" ht="22.15" customHeight="1" x14ac:dyDescent="0.25">
      <c r="B96" s="211" t="s">
        <v>287</v>
      </c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7"/>
      <c r="O96" s="258"/>
      <c r="P96" s="94"/>
      <c r="Q96" s="94"/>
      <c r="R96" s="94"/>
    </row>
    <row r="97" spans="2:18" ht="22.15" customHeight="1" x14ac:dyDescent="0.25">
      <c r="B97" s="211" t="s">
        <v>288</v>
      </c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7"/>
      <c r="O97" s="212" t="s">
        <v>646</v>
      </c>
      <c r="P97" s="97"/>
      <c r="Q97" s="236" t="s">
        <v>647</v>
      </c>
      <c r="R97" s="94"/>
    </row>
    <row r="98" spans="2:18" ht="21.4" customHeight="1" x14ac:dyDescent="0.25">
      <c r="B98" s="257" t="s">
        <v>513</v>
      </c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7"/>
      <c r="O98" s="177"/>
      <c r="P98" s="97"/>
      <c r="Q98" s="189"/>
      <c r="R98" s="94"/>
    </row>
    <row r="99" spans="2:18" ht="21.4" customHeight="1" x14ac:dyDescent="0.25">
      <c r="B99" s="257" t="s">
        <v>697</v>
      </c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7"/>
      <c r="O99" s="177"/>
      <c r="P99" s="97"/>
      <c r="Q99" s="189"/>
      <c r="R99" s="94"/>
    </row>
    <row r="100" spans="2:18" ht="21.4" customHeight="1" x14ac:dyDescent="0.25">
      <c r="B100" s="257" t="s">
        <v>698</v>
      </c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7"/>
      <c r="O100" s="177"/>
      <c r="P100" s="97"/>
      <c r="Q100" s="189"/>
      <c r="R100" s="94"/>
    </row>
    <row r="101" spans="2:18" ht="21.4" customHeight="1" x14ac:dyDescent="0.25">
      <c r="B101" s="257" t="s">
        <v>699</v>
      </c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7"/>
      <c r="O101" s="177"/>
      <c r="P101" s="97"/>
      <c r="Q101" s="189"/>
      <c r="R101" s="94"/>
    </row>
    <row r="102" spans="2:18" ht="21.4" customHeight="1" x14ac:dyDescent="0.25">
      <c r="B102" s="257" t="s">
        <v>700</v>
      </c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7"/>
      <c r="O102" s="177"/>
      <c r="P102" s="97"/>
      <c r="Q102" s="189"/>
      <c r="R102" s="94"/>
    </row>
    <row r="103" spans="2:18" ht="21.4" customHeight="1" x14ac:dyDescent="0.25">
      <c r="B103" s="257" t="s">
        <v>701</v>
      </c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7"/>
      <c r="O103" s="177"/>
      <c r="P103" s="97"/>
      <c r="Q103" s="189"/>
      <c r="R103" s="94"/>
    </row>
    <row r="104" spans="2:18" ht="21.4" customHeight="1" x14ac:dyDescent="0.25">
      <c r="B104" s="257" t="s">
        <v>519</v>
      </c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7"/>
      <c r="O104" s="177"/>
      <c r="P104" s="97"/>
      <c r="Q104" s="189"/>
      <c r="R104" s="94"/>
    </row>
    <row r="105" spans="2:18" ht="21.4" customHeight="1" x14ac:dyDescent="0.25">
      <c r="B105" s="257" t="s">
        <v>520</v>
      </c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7"/>
      <c r="O105" s="177"/>
      <c r="P105" s="97"/>
      <c r="Q105" s="189"/>
      <c r="R105" s="94"/>
    </row>
    <row r="106" spans="2:18" ht="21.4" customHeight="1" x14ac:dyDescent="0.25">
      <c r="B106" s="257" t="s">
        <v>521</v>
      </c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7"/>
      <c r="O106" s="177"/>
      <c r="P106" s="97"/>
      <c r="Q106" s="229"/>
      <c r="R106" s="101"/>
    </row>
    <row r="107" spans="2:18" ht="21.4" customHeight="1" x14ac:dyDescent="0.25">
      <c r="B107" s="257" t="s">
        <v>702</v>
      </c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7"/>
      <c r="O107" s="177"/>
      <c r="P107" s="97"/>
      <c r="Q107" s="189"/>
      <c r="R107" s="94"/>
    </row>
    <row r="108" spans="2:18" ht="21.4" customHeight="1" x14ac:dyDescent="0.25">
      <c r="B108" s="257" t="s">
        <v>523</v>
      </c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7"/>
      <c r="O108" s="177"/>
      <c r="P108" s="97"/>
      <c r="Q108" s="189"/>
      <c r="R108" s="94"/>
    </row>
    <row r="109" spans="2:18" ht="21.4" customHeight="1" x14ac:dyDescent="0.25">
      <c r="B109" s="257" t="s">
        <v>524</v>
      </c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7"/>
      <c r="O109" s="177"/>
      <c r="P109" s="97"/>
      <c r="Q109" s="189"/>
      <c r="R109" s="94"/>
    </row>
    <row r="110" spans="2:18" ht="21.4" customHeight="1" x14ac:dyDescent="0.25">
      <c r="B110" s="257" t="s">
        <v>703</v>
      </c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7"/>
      <c r="O110" s="177"/>
      <c r="P110" s="97"/>
      <c r="Q110" s="189"/>
      <c r="R110" s="94"/>
    </row>
    <row r="111" spans="2:18" ht="21.4" customHeight="1" x14ac:dyDescent="0.25">
      <c r="B111" s="257" t="s">
        <v>526</v>
      </c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7"/>
      <c r="O111" s="177"/>
      <c r="P111" s="97"/>
      <c r="Q111" s="189"/>
      <c r="R111" s="94"/>
    </row>
    <row r="112" spans="2:18" ht="21.4" customHeight="1" x14ac:dyDescent="0.25">
      <c r="B112" s="257" t="s">
        <v>527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7"/>
      <c r="O112" s="177"/>
      <c r="P112" s="97"/>
      <c r="Q112" s="189"/>
      <c r="R112" s="94"/>
    </row>
    <row r="113" spans="2:18" ht="21.4" customHeight="1" x14ac:dyDescent="0.25">
      <c r="B113" s="257" t="s">
        <v>528</v>
      </c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7"/>
      <c r="O113" s="177"/>
      <c r="P113" s="97"/>
      <c r="Q113" s="208"/>
      <c r="R113" s="95"/>
    </row>
    <row r="114" spans="2:18" ht="21.4" customHeight="1" x14ac:dyDescent="0.25">
      <c r="B114" s="211" t="s">
        <v>289</v>
      </c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7"/>
      <c r="O114" s="189"/>
      <c r="P114" s="94"/>
      <c r="Q114" s="94"/>
      <c r="R114" s="94"/>
    </row>
    <row r="115" spans="2:18" ht="21.4" customHeight="1" x14ac:dyDescent="0.25">
      <c r="B115" s="256" t="s">
        <v>290</v>
      </c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7"/>
      <c r="O115" s="178"/>
      <c r="P115" s="94"/>
      <c r="Q115" s="94"/>
      <c r="R115" s="94"/>
    </row>
    <row r="116" spans="2:18" ht="21.4" customHeight="1" x14ac:dyDescent="0.25">
      <c r="B116" s="211" t="s">
        <v>291</v>
      </c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7"/>
      <c r="O116" s="189" cm="1">
        <f t="array" ref="O116">O96+SUM(O98:P113)-SUM(Q98:R113+O114+O115)</f>
        <v>0</v>
      </c>
      <c r="P116" s="94"/>
      <c r="Q116" s="94"/>
      <c r="R116" s="94"/>
    </row>
    <row r="117" spans="2:18" x14ac:dyDescent="0.3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</row>
    <row r="118" spans="2:18" ht="28.9" customHeight="1" x14ac:dyDescent="0.25">
      <c r="B118" s="200" t="s">
        <v>292</v>
      </c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4"/>
      <c r="P118" s="94"/>
      <c r="Q118" s="94"/>
      <c r="R118" s="94"/>
    </row>
    <row r="119" spans="2:18" ht="28.9" customHeight="1" x14ac:dyDescent="0.25">
      <c r="B119" s="253" t="s">
        <v>704</v>
      </c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7"/>
      <c r="O119" s="190"/>
      <c r="P119" s="94"/>
      <c r="Q119" s="94"/>
      <c r="R119" s="94"/>
    </row>
    <row r="120" spans="2:18" ht="28.9" customHeight="1" x14ac:dyDescent="0.25">
      <c r="B120" s="254" t="s">
        <v>705</v>
      </c>
      <c r="C120" s="255" t="s">
        <v>706</v>
      </c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34"/>
      <c r="O120" s="190"/>
      <c r="P120" s="94"/>
      <c r="Q120" s="94"/>
      <c r="R120" s="94"/>
    </row>
    <row r="121" spans="2:18" ht="28.9" customHeight="1" x14ac:dyDescent="0.25">
      <c r="B121" s="137"/>
      <c r="C121" s="199" t="s">
        <v>707</v>
      </c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7"/>
      <c r="O121" s="190"/>
      <c r="P121" s="94"/>
      <c r="Q121" s="94"/>
      <c r="R121" s="94"/>
    </row>
    <row r="122" spans="2:18" ht="28.9" customHeight="1" x14ac:dyDescent="0.25">
      <c r="B122" s="134"/>
      <c r="C122" s="199" t="s">
        <v>708</v>
      </c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7"/>
      <c r="O122" s="190"/>
      <c r="P122" s="94"/>
      <c r="Q122" s="94"/>
      <c r="R122" s="94"/>
    </row>
    <row r="123" spans="2:18" ht="28.9" customHeight="1" x14ac:dyDescent="0.25">
      <c r="B123" s="252" t="s">
        <v>709</v>
      </c>
      <c r="C123" s="199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7"/>
      <c r="O123" s="212" t="s">
        <v>710</v>
      </c>
      <c r="P123" s="97"/>
      <c r="Q123" s="236" t="s">
        <v>711</v>
      </c>
      <c r="R123" s="94"/>
    </row>
    <row r="124" spans="2:18" ht="28.9" customHeight="1" x14ac:dyDescent="0.25">
      <c r="B124" s="137"/>
      <c r="C124" s="199" t="s">
        <v>712</v>
      </c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7"/>
      <c r="O124" s="106"/>
      <c r="P124" s="97"/>
      <c r="Q124" s="190"/>
      <c r="R124" s="94"/>
    </row>
    <row r="125" spans="2:18" ht="28.9" customHeight="1" x14ac:dyDescent="0.25">
      <c r="B125" s="137"/>
      <c r="C125" s="199" t="s">
        <v>713</v>
      </c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7"/>
      <c r="O125" s="106"/>
      <c r="P125" s="97"/>
      <c r="Q125" s="190"/>
      <c r="R125" s="94"/>
    </row>
    <row r="126" spans="2:18" ht="28.9" customHeight="1" x14ac:dyDescent="0.25">
      <c r="B126" s="137"/>
      <c r="C126" s="199" t="s">
        <v>714</v>
      </c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7"/>
      <c r="O126" s="106"/>
      <c r="P126" s="97"/>
      <c r="Q126" s="190"/>
      <c r="R126" s="94"/>
    </row>
    <row r="127" spans="2:18" ht="28.9" customHeight="1" x14ac:dyDescent="0.25">
      <c r="B127" s="137"/>
      <c r="C127" s="199" t="s">
        <v>715</v>
      </c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7"/>
      <c r="O127" s="106"/>
      <c r="P127" s="97"/>
      <c r="Q127" s="190"/>
      <c r="R127" s="94"/>
    </row>
    <row r="128" spans="2:18" ht="28.9" customHeight="1" x14ac:dyDescent="0.25">
      <c r="B128" s="137"/>
      <c r="C128" s="199" t="s">
        <v>716</v>
      </c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7"/>
      <c r="O128" s="106"/>
      <c r="P128" s="97"/>
      <c r="Q128" s="190"/>
      <c r="R128" s="94"/>
    </row>
    <row r="129" spans="1:21" ht="28.9" customHeight="1" x14ac:dyDescent="0.25">
      <c r="B129" s="134"/>
      <c r="C129" s="199" t="s">
        <v>717</v>
      </c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7"/>
      <c r="O129" s="106"/>
      <c r="P129" s="97"/>
      <c r="Q129" s="190"/>
      <c r="R129" s="94"/>
    </row>
    <row r="130" spans="1:21" ht="28.9" customHeight="1" x14ac:dyDescent="0.25">
      <c r="B130" s="56" t="s">
        <v>718</v>
      </c>
      <c r="C130" s="199" t="s">
        <v>719</v>
      </c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7"/>
      <c r="O130" s="106"/>
      <c r="P130" s="97"/>
      <c r="Q130" s="190"/>
      <c r="R130" s="94"/>
    </row>
    <row r="131" spans="1:21" x14ac:dyDescent="0.3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</row>
    <row r="132" spans="1:21" ht="28.9" customHeight="1" x14ac:dyDescent="0.25">
      <c r="B132" s="190" t="s">
        <v>720</v>
      </c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</row>
    <row r="133" spans="1:21" ht="66.599999999999994" customHeight="1" x14ac:dyDescent="0.25">
      <c r="A133" s="26" t="str">
        <f>_xlfn.CONCAT(MAX($A$1:A132),"-11")</f>
        <v>1-11</v>
      </c>
      <c r="B133" s="249" t="s">
        <v>721</v>
      </c>
      <c r="C133" s="114"/>
      <c r="D133" s="134"/>
      <c r="E133" s="250" t="s">
        <v>722</v>
      </c>
      <c r="F133" s="94"/>
      <c r="G133" s="94"/>
      <c r="H133" s="97"/>
      <c r="I133" s="251" t="s">
        <v>723</v>
      </c>
      <c r="J133" s="94"/>
      <c r="K133" s="94"/>
      <c r="L133" s="94"/>
      <c r="M133" s="94"/>
      <c r="N133" s="94"/>
      <c r="O133" s="94"/>
      <c r="P133" s="94"/>
      <c r="Q133" s="94"/>
      <c r="R133" s="94"/>
    </row>
    <row r="134" spans="1:21" ht="28.9" customHeight="1" x14ac:dyDescent="0.25">
      <c r="B134" s="176"/>
      <c r="C134" s="94"/>
      <c r="D134" s="97"/>
      <c r="E134" s="98"/>
      <c r="F134" s="94"/>
      <c r="G134" s="94"/>
      <c r="H134" s="97"/>
      <c r="I134" s="99"/>
      <c r="J134" s="94"/>
      <c r="K134" s="94"/>
      <c r="L134" s="94"/>
      <c r="M134" s="94"/>
      <c r="N134" s="94"/>
      <c r="O134" s="94"/>
      <c r="P134" s="94"/>
      <c r="Q134" s="94"/>
      <c r="R134" s="94"/>
    </row>
    <row r="135" spans="1:21" ht="28.9" customHeight="1" x14ac:dyDescent="0.25">
      <c r="B135" s="176"/>
      <c r="C135" s="94"/>
      <c r="D135" s="97"/>
      <c r="E135" s="98"/>
      <c r="F135" s="94"/>
      <c r="G135" s="94"/>
      <c r="H135" s="97"/>
      <c r="I135" s="99"/>
      <c r="J135" s="94"/>
      <c r="K135" s="94"/>
      <c r="L135" s="94"/>
      <c r="M135" s="94"/>
      <c r="N135" s="94"/>
      <c r="O135" s="94"/>
      <c r="P135" s="94"/>
      <c r="Q135" s="94"/>
      <c r="R135" s="94"/>
      <c r="U135" s="1" t="s">
        <v>724</v>
      </c>
    </row>
    <row r="136" spans="1:21" ht="28.9" customHeight="1" x14ac:dyDescent="0.25">
      <c r="B136" s="176"/>
      <c r="C136" s="94"/>
      <c r="D136" s="97"/>
      <c r="E136" s="98"/>
      <c r="F136" s="94"/>
      <c r="G136" s="94"/>
      <c r="H136" s="97"/>
      <c r="I136" s="99"/>
      <c r="J136" s="94"/>
      <c r="K136" s="94"/>
      <c r="L136" s="94"/>
      <c r="M136" s="94"/>
      <c r="N136" s="94"/>
      <c r="O136" s="94"/>
      <c r="P136" s="94"/>
      <c r="Q136" s="94"/>
      <c r="R136" s="94"/>
      <c r="U136" s="1" t="s">
        <v>725</v>
      </c>
    </row>
    <row r="137" spans="1:21" ht="28.9" customHeight="1" x14ac:dyDescent="0.25">
      <c r="B137" s="176"/>
      <c r="C137" s="94"/>
      <c r="D137" s="97"/>
      <c r="E137" s="98"/>
      <c r="F137" s="94"/>
      <c r="G137" s="94"/>
      <c r="H137" s="97"/>
      <c r="I137" s="99"/>
      <c r="J137" s="94"/>
      <c r="K137" s="94"/>
      <c r="L137" s="94"/>
      <c r="M137" s="94"/>
      <c r="N137" s="94"/>
      <c r="O137" s="94"/>
      <c r="P137" s="94"/>
      <c r="Q137" s="94"/>
      <c r="R137" s="94"/>
    </row>
    <row r="138" spans="1:21" x14ac:dyDescent="0.3">
      <c r="A138" s="26" t="str">
        <f>_xlfn.CONCAT(MAX($A$1:A137),"-12")</f>
        <v>1-12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</row>
    <row r="139" spans="1:21" ht="30" customHeight="1" x14ac:dyDescent="0.25">
      <c r="B139" s="152" t="s">
        <v>293</v>
      </c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</row>
    <row r="140" spans="1:21" ht="30" customHeight="1" x14ac:dyDescent="0.25">
      <c r="B140" s="152" t="s">
        <v>294</v>
      </c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</row>
    <row r="141" spans="1:21" ht="30" customHeight="1" x14ac:dyDescent="0.25">
      <c r="B141" s="150" t="s">
        <v>726</v>
      </c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7"/>
      <c r="O141" s="190"/>
      <c r="P141" s="94"/>
      <c r="Q141" s="94"/>
      <c r="R141" s="94"/>
    </row>
    <row r="142" spans="1:21" s="2" customFormat="1" ht="30" customHeight="1" x14ac:dyDescent="0.25">
      <c r="A142" s="66"/>
      <c r="B142" s="248" t="s">
        <v>727</v>
      </c>
      <c r="C142" s="133"/>
      <c r="D142" s="199" t="s">
        <v>728</v>
      </c>
      <c r="E142" s="94"/>
      <c r="F142" s="94"/>
      <c r="G142" s="94"/>
      <c r="H142" s="94"/>
      <c r="I142" s="94"/>
      <c r="J142" s="94"/>
      <c r="K142" s="94"/>
      <c r="L142" s="94"/>
      <c r="M142" s="94"/>
      <c r="N142" s="97"/>
      <c r="O142" s="178"/>
      <c r="P142" s="94"/>
      <c r="Q142" s="94"/>
      <c r="R142" s="94"/>
      <c r="T142" s="1"/>
    </row>
    <row r="143" spans="1:21" s="2" customFormat="1" ht="30" customHeight="1" x14ac:dyDescent="0.25">
      <c r="A143" s="66"/>
      <c r="B143" s="136"/>
      <c r="C143" s="137"/>
      <c r="D143" s="199" t="s">
        <v>729</v>
      </c>
      <c r="E143" s="94"/>
      <c r="F143" s="94"/>
      <c r="G143" s="94"/>
      <c r="H143" s="94"/>
      <c r="I143" s="94"/>
      <c r="J143" s="94"/>
      <c r="K143" s="94"/>
      <c r="L143" s="94"/>
      <c r="M143" s="94"/>
      <c r="N143" s="97"/>
      <c r="O143" s="178"/>
      <c r="P143" s="94"/>
      <c r="Q143" s="94"/>
      <c r="R143" s="94"/>
      <c r="T143" s="1"/>
    </row>
    <row r="144" spans="1:21" s="2" customFormat="1" ht="30" customHeight="1" x14ac:dyDescent="0.25">
      <c r="A144" s="66"/>
      <c r="B144" s="136"/>
      <c r="C144" s="137"/>
      <c r="D144" s="199" t="s">
        <v>730</v>
      </c>
      <c r="E144" s="94"/>
      <c r="F144" s="94"/>
      <c r="G144" s="94"/>
      <c r="H144" s="94"/>
      <c r="I144" s="94"/>
      <c r="J144" s="94"/>
      <c r="K144" s="94"/>
      <c r="L144" s="94"/>
      <c r="M144" s="94"/>
      <c r="N144" s="97"/>
      <c r="O144" s="178"/>
      <c r="P144" s="94"/>
      <c r="Q144" s="94"/>
      <c r="R144" s="94"/>
      <c r="T144" s="1"/>
    </row>
    <row r="145" spans="1:20" s="2" customFormat="1" ht="30" customHeight="1" x14ac:dyDescent="0.25">
      <c r="A145" s="66"/>
      <c r="B145" s="114"/>
      <c r="C145" s="134"/>
      <c r="D145" s="199" t="s">
        <v>731</v>
      </c>
      <c r="E145" s="94"/>
      <c r="F145" s="94"/>
      <c r="G145" s="94"/>
      <c r="H145" s="94"/>
      <c r="I145" s="94"/>
      <c r="J145" s="94"/>
      <c r="K145" s="94"/>
      <c r="L145" s="94"/>
      <c r="M145" s="94"/>
      <c r="N145" s="97"/>
      <c r="O145" s="178">
        <f>O143-O144</f>
        <v>0</v>
      </c>
      <c r="P145" s="94"/>
      <c r="Q145" s="94"/>
      <c r="R145" s="94"/>
      <c r="T145" s="1"/>
    </row>
    <row r="146" spans="1:20" s="2" customFormat="1" ht="30" customHeight="1" x14ac:dyDescent="0.25">
      <c r="A146" s="66"/>
      <c r="B146" s="248" t="s">
        <v>732</v>
      </c>
      <c r="C146" s="133"/>
      <c r="D146" s="199" t="s">
        <v>733</v>
      </c>
      <c r="E146" s="94"/>
      <c r="F146" s="94"/>
      <c r="G146" s="94"/>
      <c r="H146" s="94"/>
      <c r="I146" s="94"/>
      <c r="J146" s="94"/>
      <c r="K146" s="94"/>
      <c r="L146" s="94"/>
      <c r="M146" s="94"/>
      <c r="N146" s="97"/>
      <c r="O146" s="178"/>
      <c r="P146" s="94"/>
      <c r="Q146" s="94"/>
      <c r="R146" s="94"/>
      <c r="T146" s="1"/>
    </row>
    <row r="147" spans="1:20" s="2" customFormat="1" ht="30" customHeight="1" x14ac:dyDescent="0.25">
      <c r="A147" s="66"/>
      <c r="B147" s="136"/>
      <c r="C147" s="137"/>
      <c r="D147" s="199" t="s">
        <v>734</v>
      </c>
      <c r="E147" s="94"/>
      <c r="F147" s="94"/>
      <c r="G147" s="94"/>
      <c r="H147" s="94"/>
      <c r="I147" s="94"/>
      <c r="J147" s="94"/>
      <c r="K147" s="94"/>
      <c r="L147" s="94"/>
      <c r="M147" s="94"/>
      <c r="N147" s="97"/>
      <c r="O147" s="178"/>
      <c r="P147" s="94"/>
      <c r="Q147" s="94"/>
      <c r="R147" s="94"/>
      <c r="T147" s="1"/>
    </row>
    <row r="148" spans="1:20" s="2" customFormat="1" ht="30" customHeight="1" x14ac:dyDescent="0.25">
      <c r="A148" s="66"/>
      <c r="B148" s="136"/>
      <c r="C148" s="137"/>
      <c r="D148" s="199" t="s">
        <v>735</v>
      </c>
      <c r="E148" s="94"/>
      <c r="F148" s="94"/>
      <c r="G148" s="94"/>
      <c r="H148" s="94"/>
      <c r="I148" s="94"/>
      <c r="J148" s="94"/>
      <c r="K148" s="94"/>
      <c r="L148" s="94"/>
      <c r="M148" s="94"/>
      <c r="N148" s="97"/>
      <c r="O148" s="178"/>
      <c r="P148" s="94"/>
      <c r="Q148" s="94"/>
      <c r="R148" s="94"/>
      <c r="T148" s="1"/>
    </row>
    <row r="149" spans="1:20" s="2" customFormat="1" ht="30" customHeight="1" x14ac:dyDescent="0.25">
      <c r="A149" s="66"/>
      <c r="B149" s="114"/>
      <c r="C149" s="134"/>
      <c r="D149" s="199" t="s">
        <v>736</v>
      </c>
      <c r="E149" s="94"/>
      <c r="F149" s="94"/>
      <c r="G149" s="94"/>
      <c r="H149" s="94"/>
      <c r="I149" s="94"/>
      <c r="J149" s="94"/>
      <c r="K149" s="94"/>
      <c r="L149" s="94"/>
      <c r="M149" s="94"/>
      <c r="N149" s="97"/>
      <c r="O149" s="178">
        <f>O147-O148</f>
        <v>0</v>
      </c>
      <c r="P149" s="94"/>
      <c r="Q149" s="94"/>
      <c r="R149" s="94"/>
      <c r="T149" s="1"/>
    </row>
    <row r="150" spans="1:20" s="2" customFormat="1" ht="30" customHeight="1" x14ac:dyDescent="0.25">
      <c r="A150" s="66"/>
      <c r="B150" s="248" t="s">
        <v>737</v>
      </c>
      <c r="C150" s="133"/>
      <c r="D150" s="199" t="s">
        <v>738</v>
      </c>
      <c r="E150" s="94"/>
      <c r="F150" s="94"/>
      <c r="G150" s="94"/>
      <c r="H150" s="94"/>
      <c r="I150" s="94"/>
      <c r="J150" s="94"/>
      <c r="K150" s="94"/>
      <c r="L150" s="94"/>
      <c r="M150" s="94"/>
      <c r="N150" s="97"/>
      <c r="O150" s="178"/>
      <c r="P150" s="94"/>
      <c r="Q150" s="94"/>
      <c r="R150" s="94"/>
      <c r="T150" s="1"/>
    </row>
    <row r="151" spans="1:20" s="2" customFormat="1" ht="30" customHeight="1" x14ac:dyDescent="0.25">
      <c r="A151" s="66"/>
      <c r="B151" s="114"/>
      <c r="C151" s="134"/>
      <c r="D151" s="199" t="s">
        <v>739</v>
      </c>
      <c r="E151" s="94"/>
      <c r="F151" s="94"/>
      <c r="G151" s="94"/>
      <c r="H151" s="94"/>
      <c r="I151" s="94"/>
      <c r="J151" s="94"/>
      <c r="K151" s="94"/>
      <c r="L151" s="94"/>
      <c r="M151" s="94"/>
      <c r="N151" s="97"/>
      <c r="O151" s="178"/>
      <c r="P151" s="94"/>
      <c r="Q151" s="94"/>
      <c r="R151" s="94"/>
      <c r="T151" s="1"/>
    </row>
    <row r="152" spans="1:20" s="2" customFormat="1" ht="30" customHeight="1" x14ac:dyDescent="0.25">
      <c r="A152" s="66"/>
      <c r="B152" s="248" t="s">
        <v>740</v>
      </c>
      <c r="C152" s="97"/>
      <c r="D152" s="199" t="s">
        <v>741</v>
      </c>
      <c r="E152" s="94"/>
      <c r="F152" s="94"/>
      <c r="G152" s="94"/>
      <c r="H152" s="94"/>
      <c r="I152" s="94"/>
      <c r="J152" s="94"/>
      <c r="K152" s="94"/>
      <c r="L152" s="94"/>
      <c r="M152" s="94"/>
      <c r="N152" s="97"/>
      <c r="O152" s="178"/>
      <c r="P152" s="94"/>
      <c r="Q152" s="94"/>
      <c r="R152" s="94"/>
      <c r="T152" s="1"/>
    </row>
    <row r="153" spans="1:20" x14ac:dyDescent="0.3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</row>
    <row r="154" spans="1:20" ht="28.15" customHeight="1" x14ac:dyDescent="0.25">
      <c r="B154" s="152" t="s">
        <v>296</v>
      </c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</row>
    <row r="155" spans="1:20" ht="28.15" customHeight="1" x14ac:dyDescent="0.25">
      <c r="B155" s="236" t="s">
        <v>742</v>
      </c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</row>
    <row r="156" spans="1:20" ht="78.599999999999994" customHeight="1" x14ac:dyDescent="0.25">
      <c r="A156" s="26" t="str">
        <f>_xlfn.CONCAT(MAX($A$1:A155),"-13")</f>
        <v>1-13</v>
      </c>
      <c r="B156" s="201" t="s">
        <v>743</v>
      </c>
      <c r="C156" s="114"/>
      <c r="D156" s="134"/>
      <c r="E156" s="185" t="s">
        <v>744</v>
      </c>
      <c r="F156" s="134"/>
      <c r="G156" s="185" t="s">
        <v>745</v>
      </c>
      <c r="H156" s="114"/>
      <c r="I156" s="114"/>
      <c r="J156" s="134"/>
      <c r="K156" s="185" t="s">
        <v>746</v>
      </c>
      <c r="L156" s="114"/>
      <c r="M156" s="134"/>
      <c r="N156" s="113" t="s">
        <v>747</v>
      </c>
      <c r="O156" s="114"/>
      <c r="P156" s="114"/>
      <c r="Q156" s="114"/>
      <c r="R156" s="114"/>
    </row>
    <row r="157" spans="1:20" ht="28.15" customHeight="1" x14ac:dyDescent="0.25">
      <c r="B157" s="96"/>
      <c r="C157" s="94"/>
      <c r="D157" s="97"/>
      <c r="E157" s="106"/>
      <c r="F157" s="97"/>
      <c r="G157" s="177"/>
      <c r="H157" s="94"/>
      <c r="I157" s="94"/>
      <c r="J157" s="97"/>
      <c r="K157" s="177"/>
      <c r="L157" s="94"/>
      <c r="M157" s="97"/>
      <c r="N157" s="247"/>
      <c r="O157" s="94"/>
      <c r="P157" s="94"/>
      <c r="Q157" s="94"/>
      <c r="R157" s="94"/>
    </row>
    <row r="158" spans="1:20" ht="28.15" customHeight="1" x14ac:dyDescent="0.25">
      <c r="B158" s="96"/>
      <c r="C158" s="94"/>
      <c r="D158" s="97"/>
      <c r="E158" s="106"/>
      <c r="F158" s="97"/>
      <c r="G158" s="177"/>
      <c r="H158" s="94"/>
      <c r="I158" s="94"/>
      <c r="J158" s="97"/>
      <c r="K158" s="177"/>
      <c r="L158" s="94"/>
      <c r="M158" s="97"/>
      <c r="N158" s="247"/>
      <c r="O158" s="94"/>
      <c r="P158" s="94"/>
      <c r="Q158" s="94"/>
      <c r="R158" s="94"/>
    </row>
    <row r="159" spans="1:20" ht="28.15" customHeight="1" x14ac:dyDescent="0.25">
      <c r="B159" s="96"/>
      <c r="C159" s="94"/>
      <c r="D159" s="97"/>
      <c r="E159" s="106"/>
      <c r="F159" s="97"/>
      <c r="G159" s="177"/>
      <c r="H159" s="94"/>
      <c r="I159" s="94"/>
      <c r="J159" s="97"/>
      <c r="K159" s="177"/>
      <c r="L159" s="94"/>
      <c r="M159" s="97"/>
      <c r="N159" s="247"/>
      <c r="O159" s="94"/>
      <c r="P159" s="94"/>
      <c r="Q159" s="94"/>
      <c r="R159" s="94"/>
    </row>
    <row r="160" spans="1:20" ht="28.15" customHeight="1" x14ac:dyDescent="0.25">
      <c r="B160" s="96"/>
      <c r="C160" s="94"/>
      <c r="D160" s="97"/>
      <c r="E160" s="106"/>
      <c r="F160" s="97"/>
      <c r="G160" s="177"/>
      <c r="H160" s="94"/>
      <c r="I160" s="94"/>
      <c r="J160" s="97"/>
      <c r="K160" s="177"/>
      <c r="L160" s="94"/>
      <c r="M160" s="97"/>
      <c r="N160" s="247"/>
      <c r="O160" s="94"/>
      <c r="P160" s="94"/>
      <c r="Q160" s="94"/>
      <c r="R160" s="94"/>
    </row>
    <row r="161" spans="1:18" x14ac:dyDescent="0.3">
      <c r="A161" s="26" t="str">
        <f>_xlfn.CONCAT(MAX($A$1:A160),"-14")</f>
        <v>1-14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</row>
    <row r="162" spans="1:18" ht="28.15" customHeight="1" x14ac:dyDescent="0.25">
      <c r="B162" s="152" t="s">
        <v>297</v>
      </c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</row>
    <row r="163" spans="1:18" ht="42.6" customHeight="1" x14ac:dyDescent="0.25">
      <c r="A163" s="26" t="str">
        <f>_xlfn.CONCAT(MAX($A$1:A162),"-15")</f>
        <v>1-15</v>
      </c>
      <c r="B163" s="96" t="s">
        <v>748</v>
      </c>
      <c r="C163" s="94"/>
      <c r="D163" s="94"/>
      <c r="E163" s="94"/>
      <c r="F163" s="94"/>
      <c r="G163" s="94"/>
      <c r="H163" s="94"/>
      <c r="I163" s="94"/>
      <c r="J163" s="97"/>
      <c r="K163" s="190" t="s">
        <v>749</v>
      </c>
      <c r="L163" s="94"/>
      <c r="M163" s="94"/>
      <c r="N163" s="94"/>
      <c r="O163" s="94"/>
      <c r="P163" s="94"/>
      <c r="Q163" s="94"/>
      <c r="R163" s="94"/>
    </row>
    <row r="164" spans="1:18" ht="28.15" customHeight="1" x14ac:dyDescent="0.25">
      <c r="B164" s="150"/>
      <c r="C164" s="94"/>
      <c r="D164" s="94"/>
      <c r="E164" s="94"/>
      <c r="F164" s="94"/>
      <c r="G164" s="94"/>
      <c r="H164" s="94"/>
      <c r="I164" s="94"/>
      <c r="J164" s="97"/>
      <c r="K164" s="190"/>
      <c r="L164" s="94"/>
      <c r="M164" s="94"/>
      <c r="N164" s="94"/>
      <c r="O164" s="94"/>
      <c r="P164" s="94"/>
      <c r="Q164" s="94"/>
      <c r="R164" s="94"/>
    </row>
    <row r="165" spans="1:18" ht="28.15" customHeight="1" x14ac:dyDescent="0.25">
      <c r="B165" s="150"/>
      <c r="C165" s="94"/>
      <c r="D165" s="94"/>
      <c r="E165" s="94"/>
      <c r="F165" s="94"/>
      <c r="G165" s="94"/>
      <c r="H165" s="94"/>
      <c r="I165" s="94"/>
      <c r="J165" s="97"/>
      <c r="K165" s="190"/>
      <c r="L165" s="94"/>
      <c r="M165" s="94"/>
      <c r="N165" s="94"/>
      <c r="O165" s="94"/>
      <c r="P165" s="94"/>
      <c r="Q165" s="94"/>
      <c r="R165" s="94"/>
    </row>
    <row r="166" spans="1:18" ht="28.15" customHeight="1" x14ac:dyDescent="0.25">
      <c r="B166" s="150"/>
      <c r="C166" s="94"/>
      <c r="D166" s="94"/>
      <c r="E166" s="94"/>
      <c r="F166" s="94"/>
      <c r="G166" s="94"/>
      <c r="H166" s="94"/>
      <c r="I166" s="94"/>
      <c r="J166" s="97"/>
      <c r="K166" s="190"/>
      <c r="L166" s="94"/>
      <c r="M166" s="94"/>
      <c r="N166" s="94"/>
      <c r="O166" s="94"/>
      <c r="P166" s="94"/>
      <c r="Q166" s="94"/>
      <c r="R166" s="94"/>
    </row>
    <row r="167" spans="1:18" ht="28.15" customHeight="1" x14ac:dyDescent="0.25">
      <c r="B167" s="150"/>
      <c r="C167" s="94"/>
      <c r="D167" s="94"/>
      <c r="E167" s="94"/>
      <c r="F167" s="94"/>
      <c r="G167" s="94"/>
      <c r="H167" s="94"/>
      <c r="I167" s="94"/>
      <c r="J167" s="97"/>
      <c r="K167" s="190"/>
      <c r="L167" s="94"/>
      <c r="M167" s="94"/>
      <c r="N167" s="94"/>
      <c r="O167" s="94"/>
      <c r="P167" s="94"/>
      <c r="Q167" s="94"/>
      <c r="R167" s="94"/>
    </row>
    <row r="168" spans="1:18" x14ac:dyDescent="0.3">
      <c r="A168" s="26" t="str">
        <f>_xlfn.CONCAT(MAX($A$1:A167),"-16")</f>
        <v>1-16</v>
      </c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</row>
    <row r="169" spans="1:18" ht="22.15" customHeight="1" x14ac:dyDescent="0.25">
      <c r="B169" s="152" t="s">
        <v>306</v>
      </c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</row>
    <row r="170" spans="1:18" ht="22.15" customHeight="1" x14ac:dyDescent="0.25">
      <c r="B170" s="152" t="s">
        <v>307</v>
      </c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</row>
    <row r="171" spans="1:18" ht="25.15" customHeight="1" x14ac:dyDescent="0.25">
      <c r="B171" s="246" t="s">
        <v>750</v>
      </c>
      <c r="C171" s="137"/>
      <c r="D171" s="199" t="s">
        <v>751</v>
      </c>
      <c r="E171" s="94"/>
      <c r="F171" s="94"/>
      <c r="G171" s="94"/>
      <c r="H171" s="94"/>
      <c r="I171" s="94"/>
      <c r="J171" s="94"/>
      <c r="K171" s="94"/>
      <c r="L171" s="94"/>
      <c r="M171" s="94"/>
      <c r="N171" s="97"/>
      <c r="O171" s="190"/>
      <c r="P171" s="94"/>
      <c r="Q171" s="94"/>
      <c r="R171" s="94"/>
    </row>
    <row r="172" spans="1:18" ht="25.15" customHeight="1" x14ac:dyDescent="0.25">
      <c r="B172" s="136"/>
      <c r="C172" s="137"/>
      <c r="D172" s="199" t="s">
        <v>752</v>
      </c>
      <c r="E172" s="94"/>
      <c r="F172" s="94"/>
      <c r="G172" s="94"/>
      <c r="H172" s="94"/>
      <c r="I172" s="94"/>
      <c r="J172" s="94"/>
      <c r="K172" s="94"/>
      <c r="L172" s="94"/>
      <c r="M172" s="94"/>
      <c r="N172" s="97"/>
      <c r="O172" s="189"/>
      <c r="P172" s="94"/>
      <c r="Q172" s="94"/>
      <c r="R172" s="94"/>
    </row>
    <row r="173" spans="1:18" ht="25.15" customHeight="1" x14ac:dyDescent="0.25">
      <c r="B173" s="114"/>
      <c r="C173" s="134"/>
      <c r="D173" s="199" t="s">
        <v>753</v>
      </c>
      <c r="E173" s="94"/>
      <c r="F173" s="94"/>
      <c r="G173" s="94"/>
      <c r="H173" s="94"/>
      <c r="I173" s="94"/>
      <c r="J173" s="94"/>
      <c r="K173" s="94"/>
      <c r="L173" s="94"/>
      <c r="M173" s="94"/>
      <c r="N173" s="97"/>
      <c r="O173" s="189"/>
      <c r="P173" s="94"/>
      <c r="Q173" s="94"/>
      <c r="R173" s="94"/>
    </row>
    <row r="174" spans="1:18" ht="25.15" customHeight="1" x14ac:dyDescent="0.25">
      <c r="B174" s="245" t="s">
        <v>754</v>
      </c>
      <c r="C174" s="133"/>
      <c r="D174" s="199" t="s">
        <v>755</v>
      </c>
      <c r="E174" s="94"/>
      <c r="F174" s="94"/>
      <c r="G174" s="94"/>
      <c r="H174" s="94"/>
      <c r="I174" s="94"/>
      <c r="J174" s="94"/>
      <c r="K174" s="94"/>
      <c r="L174" s="94"/>
      <c r="M174" s="94"/>
      <c r="N174" s="97"/>
      <c r="O174" s="132"/>
      <c r="P174" s="132"/>
      <c r="Q174" s="132"/>
      <c r="R174" s="132"/>
    </row>
    <row r="175" spans="1:18" ht="25.15" customHeight="1" x14ac:dyDescent="0.25">
      <c r="B175" s="136"/>
      <c r="C175" s="137"/>
      <c r="D175" s="199" t="s">
        <v>756</v>
      </c>
      <c r="E175" s="94"/>
      <c r="F175" s="94"/>
      <c r="G175" s="94"/>
      <c r="H175" s="94"/>
      <c r="I175" s="94"/>
      <c r="J175" s="94"/>
      <c r="K175" s="94"/>
      <c r="L175" s="94"/>
      <c r="M175" s="94"/>
      <c r="N175" s="97"/>
      <c r="O175" s="141"/>
      <c r="P175" s="141"/>
      <c r="Q175" s="141"/>
      <c r="R175" s="141"/>
    </row>
    <row r="176" spans="1:18" ht="25.15" customHeight="1" x14ac:dyDescent="0.25">
      <c r="B176" s="136"/>
      <c r="C176" s="137"/>
      <c r="D176" s="199" t="s">
        <v>757</v>
      </c>
      <c r="E176" s="94"/>
      <c r="F176" s="94"/>
      <c r="G176" s="94"/>
      <c r="H176" s="94"/>
      <c r="I176" s="94"/>
      <c r="J176" s="94"/>
      <c r="K176" s="94"/>
      <c r="L176" s="94"/>
      <c r="M176" s="94"/>
      <c r="N176" s="97"/>
      <c r="O176" s="141"/>
      <c r="P176" s="141"/>
      <c r="Q176" s="141"/>
      <c r="R176" s="141"/>
    </row>
    <row r="177" spans="1:18" ht="25.15" customHeight="1" x14ac:dyDescent="0.25">
      <c r="B177" s="114"/>
      <c r="C177" s="134"/>
      <c r="D177" s="199" t="s">
        <v>758</v>
      </c>
      <c r="E177" s="94"/>
      <c r="F177" s="94"/>
      <c r="G177" s="94"/>
      <c r="H177" s="94"/>
      <c r="I177" s="94"/>
      <c r="J177" s="94"/>
      <c r="K177" s="94"/>
      <c r="L177" s="94"/>
      <c r="M177" s="94"/>
      <c r="N177" s="97"/>
      <c r="O177" s="141"/>
      <c r="P177" s="141"/>
      <c r="Q177" s="141"/>
      <c r="R177" s="141"/>
    </row>
    <row r="178" spans="1:18" ht="25.15" customHeight="1" x14ac:dyDescent="0.25">
      <c r="B178" s="245" t="s">
        <v>759</v>
      </c>
      <c r="C178" s="133"/>
      <c r="D178" s="199" t="s">
        <v>760</v>
      </c>
      <c r="E178" s="94"/>
      <c r="F178" s="94"/>
      <c r="G178" s="94"/>
      <c r="H178" s="94"/>
      <c r="I178" s="94"/>
      <c r="J178" s="94"/>
      <c r="K178" s="94"/>
      <c r="L178" s="94"/>
      <c r="M178" s="94"/>
      <c r="N178" s="97"/>
      <c r="O178" s="141"/>
      <c r="P178" s="141"/>
      <c r="Q178" s="141"/>
      <c r="R178" s="141"/>
    </row>
    <row r="179" spans="1:18" ht="25.15" customHeight="1" x14ac:dyDescent="0.25">
      <c r="B179" s="136"/>
      <c r="C179" s="137"/>
      <c r="D179" s="199" t="s">
        <v>761</v>
      </c>
      <c r="E179" s="94"/>
      <c r="F179" s="94"/>
      <c r="G179" s="94"/>
      <c r="H179" s="94"/>
      <c r="I179" s="94"/>
      <c r="J179" s="94"/>
      <c r="K179" s="94"/>
      <c r="L179" s="94"/>
      <c r="M179" s="94"/>
      <c r="N179" s="97"/>
      <c r="O179" s="141"/>
      <c r="P179" s="141"/>
      <c r="Q179" s="141"/>
      <c r="R179" s="141"/>
    </row>
    <row r="180" spans="1:18" ht="25.15" customHeight="1" x14ac:dyDescent="0.25">
      <c r="B180" s="114"/>
      <c r="C180" s="134"/>
      <c r="D180" s="199" t="s">
        <v>762</v>
      </c>
      <c r="E180" s="94"/>
      <c r="F180" s="94"/>
      <c r="G180" s="94"/>
      <c r="H180" s="94"/>
      <c r="I180" s="94"/>
      <c r="J180" s="94"/>
      <c r="K180" s="94"/>
      <c r="L180" s="94"/>
      <c r="M180" s="94"/>
      <c r="N180" s="97"/>
      <c r="O180" s="142"/>
      <c r="P180" s="142"/>
      <c r="Q180" s="142"/>
      <c r="R180" s="142"/>
    </row>
    <row r="181" spans="1:18" x14ac:dyDescent="0.3"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</row>
    <row r="182" spans="1:18" ht="22.15" customHeight="1" x14ac:dyDescent="0.25">
      <c r="B182" s="152" t="s">
        <v>308</v>
      </c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</row>
    <row r="183" spans="1:18" ht="25.15" customHeight="1" x14ac:dyDescent="0.25">
      <c r="B183" s="176" t="s">
        <v>763</v>
      </c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7"/>
      <c r="O183" s="99"/>
      <c r="P183" s="94"/>
      <c r="Q183" s="94"/>
      <c r="R183" s="94"/>
    </row>
    <row r="184" spans="1:18" ht="33.6" customHeight="1" x14ac:dyDescent="0.25">
      <c r="B184" s="223" t="s">
        <v>764</v>
      </c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7"/>
      <c r="O184" s="178"/>
      <c r="P184" s="94"/>
      <c r="Q184" s="94"/>
      <c r="R184" s="94"/>
    </row>
    <row r="185" spans="1:18" ht="25.15" customHeight="1" x14ac:dyDescent="0.25">
      <c r="A185" s="26" t="str">
        <f>_xlfn.CONCAT(MAX($A$1:A184),"-17")</f>
        <v>1-17</v>
      </c>
      <c r="B185" s="176" t="s">
        <v>765</v>
      </c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7"/>
      <c r="O185" s="178"/>
      <c r="P185" s="94"/>
      <c r="Q185" s="94"/>
      <c r="R185" s="94"/>
    </row>
  </sheetData>
  <mergeCells count="471">
    <mergeCell ref="B2:R2"/>
    <mergeCell ref="B3:R3"/>
    <mergeCell ref="B4:N4"/>
    <mergeCell ref="O4:R4"/>
    <mergeCell ref="B6:R6"/>
    <mergeCell ref="B7:J7"/>
    <mergeCell ref="K7:R7"/>
    <mergeCell ref="B11:J11"/>
    <mergeCell ref="K11:R11"/>
    <mergeCell ref="B13:R13"/>
    <mergeCell ref="B14:R14"/>
    <mergeCell ref="B15:L15"/>
    <mergeCell ref="M15:R15"/>
    <mergeCell ref="B8:J8"/>
    <mergeCell ref="K8:R8"/>
    <mergeCell ref="B9:J9"/>
    <mergeCell ref="K9:R9"/>
    <mergeCell ref="B10:J10"/>
    <mergeCell ref="K10:R10"/>
    <mergeCell ref="B19:L19"/>
    <mergeCell ref="M19:O19"/>
    <mergeCell ref="P19:R19"/>
    <mergeCell ref="B20:L20"/>
    <mergeCell ref="M20:O20"/>
    <mergeCell ref="P20:R20"/>
    <mergeCell ref="B16:L16"/>
    <mergeCell ref="M16:R16"/>
    <mergeCell ref="B17:L17"/>
    <mergeCell ref="M17:O17"/>
    <mergeCell ref="P17:R17"/>
    <mergeCell ref="B18:L18"/>
    <mergeCell ref="M18:O18"/>
    <mergeCell ref="P18:R18"/>
    <mergeCell ref="B23:L23"/>
    <mergeCell ref="M23:O23"/>
    <mergeCell ref="P23:R23"/>
    <mergeCell ref="B24:L24"/>
    <mergeCell ref="M24:O24"/>
    <mergeCell ref="P24:R24"/>
    <mergeCell ref="B21:L21"/>
    <mergeCell ref="M21:O21"/>
    <mergeCell ref="P21:R21"/>
    <mergeCell ref="B22:L22"/>
    <mergeCell ref="M22:O22"/>
    <mergeCell ref="P22:R22"/>
    <mergeCell ref="B27:L27"/>
    <mergeCell ref="M27:O27"/>
    <mergeCell ref="P27:R27"/>
    <mergeCell ref="B28:L28"/>
    <mergeCell ref="M28:O28"/>
    <mergeCell ref="P28:R28"/>
    <mergeCell ref="B25:L25"/>
    <mergeCell ref="M25:O25"/>
    <mergeCell ref="P25:R25"/>
    <mergeCell ref="B26:L26"/>
    <mergeCell ref="M26:O26"/>
    <mergeCell ref="P26:R26"/>
    <mergeCell ref="B31:L31"/>
    <mergeCell ref="M31:O31"/>
    <mergeCell ref="P31:R31"/>
    <mergeCell ref="B32:L32"/>
    <mergeCell ref="M32:O32"/>
    <mergeCell ref="P32:R32"/>
    <mergeCell ref="B29:L29"/>
    <mergeCell ref="M29:O29"/>
    <mergeCell ref="P29:R29"/>
    <mergeCell ref="B30:L30"/>
    <mergeCell ref="M30:O30"/>
    <mergeCell ref="P30:R30"/>
    <mergeCell ref="B35:L35"/>
    <mergeCell ref="M35:O35"/>
    <mergeCell ref="P35:R35"/>
    <mergeCell ref="B36:L36"/>
    <mergeCell ref="M36:O36"/>
    <mergeCell ref="P36:R36"/>
    <mergeCell ref="B33:L33"/>
    <mergeCell ref="M33:O33"/>
    <mergeCell ref="P33:R33"/>
    <mergeCell ref="B34:L34"/>
    <mergeCell ref="M34:O34"/>
    <mergeCell ref="P34:R34"/>
    <mergeCell ref="B39:L39"/>
    <mergeCell ref="M39:O39"/>
    <mergeCell ref="P39:R39"/>
    <mergeCell ref="B40:L40"/>
    <mergeCell ref="M40:O40"/>
    <mergeCell ref="P40:R40"/>
    <mergeCell ref="B37:L37"/>
    <mergeCell ref="M37:O37"/>
    <mergeCell ref="P37:R37"/>
    <mergeCell ref="B38:L38"/>
    <mergeCell ref="M38:O38"/>
    <mergeCell ref="P38:R38"/>
    <mergeCell ref="B43:L43"/>
    <mergeCell ref="M43:O43"/>
    <mergeCell ref="P43:R43"/>
    <mergeCell ref="B44:L44"/>
    <mergeCell ref="M44:R44"/>
    <mergeCell ref="B46:R46"/>
    <mergeCell ref="B41:L41"/>
    <mergeCell ref="M41:O41"/>
    <mergeCell ref="P41:R41"/>
    <mergeCell ref="B42:L42"/>
    <mergeCell ref="M42:O42"/>
    <mergeCell ref="P42:R42"/>
    <mergeCell ref="Q47:R47"/>
    <mergeCell ref="C48:D48"/>
    <mergeCell ref="E48:F48"/>
    <mergeCell ref="G48:I48"/>
    <mergeCell ref="J48:K48"/>
    <mergeCell ref="L48:M48"/>
    <mergeCell ref="N48:P48"/>
    <mergeCell ref="Q48:R48"/>
    <mergeCell ref="C47:D47"/>
    <mergeCell ref="E47:F47"/>
    <mergeCell ref="G47:I47"/>
    <mergeCell ref="J47:K47"/>
    <mergeCell ref="L47:M47"/>
    <mergeCell ref="N47:P47"/>
    <mergeCell ref="Q49:R49"/>
    <mergeCell ref="C50:D50"/>
    <mergeCell ref="E50:F50"/>
    <mergeCell ref="G50:I50"/>
    <mergeCell ref="J50:K50"/>
    <mergeCell ref="L50:M50"/>
    <mergeCell ref="N50:P50"/>
    <mergeCell ref="Q50:R50"/>
    <mergeCell ref="C49:D49"/>
    <mergeCell ref="E49:F49"/>
    <mergeCell ref="G49:I49"/>
    <mergeCell ref="J49:K49"/>
    <mergeCell ref="L49:M49"/>
    <mergeCell ref="N49:P49"/>
    <mergeCell ref="Q51:R51"/>
    <mergeCell ref="B53:R53"/>
    <mergeCell ref="C54:E54"/>
    <mergeCell ref="F54:H54"/>
    <mergeCell ref="I54:K54"/>
    <mergeCell ref="L54:O54"/>
    <mergeCell ref="P54:R54"/>
    <mergeCell ref="C51:D51"/>
    <mergeCell ref="E51:F51"/>
    <mergeCell ref="G51:I51"/>
    <mergeCell ref="J51:K51"/>
    <mergeCell ref="L51:M51"/>
    <mergeCell ref="N51:P51"/>
    <mergeCell ref="C55:E55"/>
    <mergeCell ref="F55:H55"/>
    <mergeCell ref="I55:K55"/>
    <mergeCell ref="L55:O55"/>
    <mergeCell ref="P55:R55"/>
    <mergeCell ref="C56:E56"/>
    <mergeCell ref="F56:H56"/>
    <mergeCell ref="I56:K56"/>
    <mergeCell ref="L56:O56"/>
    <mergeCell ref="P56:R56"/>
    <mergeCell ref="B60:R60"/>
    <mergeCell ref="B61:D61"/>
    <mergeCell ref="E61:G61"/>
    <mergeCell ref="H61:J61"/>
    <mergeCell ref="K61:M61"/>
    <mergeCell ref="N61:R61"/>
    <mergeCell ref="C57:E57"/>
    <mergeCell ref="F57:H57"/>
    <mergeCell ref="I57:K57"/>
    <mergeCell ref="L57:O57"/>
    <mergeCell ref="P57:R57"/>
    <mergeCell ref="C58:E58"/>
    <mergeCell ref="F58:H58"/>
    <mergeCell ref="I58:K58"/>
    <mergeCell ref="L58:O58"/>
    <mergeCell ref="P58:R58"/>
    <mergeCell ref="B64:D64"/>
    <mergeCell ref="E64:G64"/>
    <mergeCell ref="H64:J64"/>
    <mergeCell ref="K64:M64"/>
    <mergeCell ref="N64:R64"/>
    <mergeCell ref="B66:R66"/>
    <mergeCell ref="B62:D62"/>
    <mergeCell ref="E62:G62"/>
    <mergeCell ref="H62:J62"/>
    <mergeCell ref="K62:M62"/>
    <mergeCell ref="N62:R62"/>
    <mergeCell ref="B63:D63"/>
    <mergeCell ref="E63:G63"/>
    <mergeCell ref="H63:J63"/>
    <mergeCell ref="K63:M63"/>
    <mergeCell ref="N63:R63"/>
    <mergeCell ref="B71:N71"/>
    <mergeCell ref="O71:P71"/>
    <mergeCell ref="Q71:R71"/>
    <mergeCell ref="B72:N72"/>
    <mergeCell ref="O72:P72"/>
    <mergeCell ref="Q72:R72"/>
    <mergeCell ref="B67:R67"/>
    <mergeCell ref="B68:N68"/>
    <mergeCell ref="O68:R68"/>
    <mergeCell ref="B69:N69"/>
    <mergeCell ref="O69:R69"/>
    <mergeCell ref="B70:N70"/>
    <mergeCell ref="O70:P70"/>
    <mergeCell ref="Q70:R70"/>
    <mergeCell ref="B75:N75"/>
    <mergeCell ref="O75:P75"/>
    <mergeCell ref="Q75:R75"/>
    <mergeCell ref="B76:N76"/>
    <mergeCell ref="O76:P76"/>
    <mergeCell ref="Q76:R76"/>
    <mergeCell ref="B73:N73"/>
    <mergeCell ref="O73:P73"/>
    <mergeCell ref="Q73:R73"/>
    <mergeCell ref="B74:N74"/>
    <mergeCell ref="O74:P74"/>
    <mergeCell ref="Q74:R74"/>
    <mergeCell ref="B79:N79"/>
    <mergeCell ref="O79:P79"/>
    <mergeCell ref="Q79:R79"/>
    <mergeCell ref="B80:N80"/>
    <mergeCell ref="O80:P80"/>
    <mergeCell ref="Q80:R80"/>
    <mergeCell ref="B77:N77"/>
    <mergeCell ref="O77:P77"/>
    <mergeCell ref="Q77:R77"/>
    <mergeCell ref="B78:N78"/>
    <mergeCell ref="O78:P78"/>
    <mergeCell ref="Q78:R78"/>
    <mergeCell ref="B83:N83"/>
    <mergeCell ref="O83:P83"/>
    <mergeCell ref="Q83:R83"/>
    <mergeCell ref="B84:N84"/>
    <mergeCell ref="O84:P84"/>
    <mergeCell ref="Q84:R84"/>
    <mergeCell ref="B81:N81"/>
    <mergeCell ref="O81:P81"/>
    <mergeCell ref="Q81:R81"/>
    <mergeCell ref="B82:N82"/>
    <mergeCell ref="O82:P82"/>
    <mergeCell ref="Q82:R82"/>
    <mergeCell ref="B87:N87"/>
    <mergeCell ref="O87:P87"/>
    <mergeCell ref="Q87:R87"/>
    <mergeCell ref="B88:N88"/>
    <mergeCell ref="O88:R88"/>
    <mergeCell ref="B90:R90"/>
    <mergeCell ref="B85:N85"/>
    <mergeCell ref="O85:P85"/>
    <mergeCell ref="Q85:R85"/>
    <mergeCell ref="B86:N86"/>
    <mergeCell ref="O86:P86"/>
    <mergeCell ref="Q86:R86"/>
    <mergeCell ref="Q91:R91"/>
    <mergeCell ref="C92:D92"/>
    <mergeCell ref="E92:F92"/>
    <mergeCell ref="G92:I92"/>
    <mergeCell ref="J92:K92"/>
    <mergeCell ref="L92:M92"/>
    <mergeCell ref="N92:P92"/>
    <mergeCell ref="Q92:R92"/>
    <mergeCell ref="C91:D91"/>
    <mergeCell ref="E91:F91"/>
    <mergeCell ref="G91:I91"/>
    <mergeCell ref="J91:K91"/>
    <mergeCell ref="L91:M91"/>
    <mergeCell ref="N91:P91"/>
    <mergeCell ref="B98:N98"/>
    <mergeCell ref="O98:P98"/>
    <mergeCell ref="Q98:R98"/>
    <mergeCell ref="B99:N99"/>
    <mergeCell ref="O99:P99"/>
    <mergeCell ref="Q99:R99"/>
    <mergeCell ref="B94:R94"/>
    <mergeCell ref="B95:N95"/>
    <mergeCell ref="O95:R95"/>
    <mergeCell ref="B96:N96"/>
    <mergeCell ref="O96:R96"/>
    <mergeCell ref="B97:N97"/>
    <mergeCell ref="O97:P97"/>
    <mergeCell ref="Q97:R97"/>
    <mergeCell ref="B102:N102"/>
    <mergeCell ref="O102:P102"/>
    <mergeCell ref="Q102:R102"/>
    <mergeCell ref="B103:N103"/>
    <mergeCell ref="O103:P103"/>
    <mergeCell ref="Q103:R103"/>
    <mergeCell ref="B100:N100"/>
    <mergeCell ref="O100:P100"/>
    <mergeCell ref="Q100:R100"/>
    <mergeCell ref="B101:N101"/>
    <mergeCell ref="O101:P101"/>
    <mergeCell ref="Q101:R101"/>
    <mergeCell ref="B106:N106"/>
    <mergeCell ref="O106:P106"/>
    <mergeCell ref="Q106:R106"/>
    <mergeCell ref="B107:N107"/>
    <mergeCell ref="O107:P107"/>
    <mergeCell ref="Q107:R107"/>
    <mergeCell ref="B104:N104"/>
    <mergeCell ref="O104:P104"/>
    <mergeCell ref="Q104:R104"/>
    <mergeCell ref="B105:N105"/>
    <mergeCell ref="O105:P105"/>
    <mergeCell ref="Q105:R105"/>
    <mergeCell ref="B110:N110"/>
    <mergeCell ref="O110:P110"/>
    <mergeCell ref="Q110:R110"/>
    <mergeCell ref="B111:N111"/>
    <mergeCell ref="O111:P111"/>
    <mergeCell ref="Q111:R111"/>
    <mergeCell ref="B108:N108"/>
    <mergeCell ref="O108:P108"/>
    <mergeCell ref="Q108:R108"/>
    <mergeCell ref="B109:N109"/>
    <mergeCell ref="O109:P109"/>
    <mergeCell ref="Q109:R109"/>
    <mergeCell ref="B114:N114"/>
    <mergeCell ref="O114:R114"/>
    <mergeCell ref="B115:N115"/>
    <mergeCell ref="O115:R115"/>
    <mergeCell ref="B116:N116"/>
    <mergeCell ref="O116:R116"/>
    <mergeCell ref="B112:N112"/>
    <mergeCell ref="O112:P112"/>
    <mergeCell ref="Q112:R112"/>
    <mergeCell ref="B113:N113"/>
    <mergeCell ref="O113:P113"/>
    <mergeCell ref="Q113:R113"/>
    <mergeCell ref="B118:R118"/>
    <mergeCell ref="B119:N119"/>
    <mergeCell ref="O119:R119"/>
    <mergeCell ref="B120:B122"/>
    <mergeCell ref="C120:N120"/>
    <mergeCell ref="O120:R120"/>
    <mergeCell ref="C121:N121"/>
    <mergeCell ref="O121:R121"/>
    <mergeCell ref="C122:N122"/>
    <mergeCell ref="O122:R122"/>
    <mergeCell ref="C126:N126"/>
    <mergeCell ref="O126:P126"/>
    <mergeCell ref="Q126:R126"/>
    <mergeCell ref="C127:N127"/>
    <mergeCell ref="O127:P127"/>
    <mergeCell ref="Q127:R127"/>
    <mergeCell ref="B123:B129"/>
    <mergeCell ref="C123:N123"/>
    <mergeCell ref="O123:P123"/>
    <mergeCell ref="Q123:R123"/>
    <mergeCell ref="C124:N124"/>
    <mergeCell ref="O124:P124"/>
    <mergeCell ref="Q124:R124"/>
    <mergeCell ref="C125:N125"/>
    <mergeCell ref="O125:P125"/>
    <mergeCell ref="Q125:R125"/>
    <mergeCell ref="C130:N130"/>
    <mergeCell ref="O130:P130"/>
    <mergeCell ref="Q130:R130"/>
    <mergeCell ref="B132:R132"/>
    <mergeCell ref="B133:D133"/>
    <mergeCell ref="E133:H133"/>
    <mergeCell ref="I133:R133"/>
    <mergeCell ref="C128:N128"/>
    <mergeCell ref="O128:P128"/>
    <mergeCell ref="Q128:R128"/>
    <mergeCell ref="C129:N129"/>
    <mergeCell ref="O129:P129"/>
    <mergeCell ref="Q129:R129"/>
    <mergeCell ref="B136:D136"/>
    <mergeCell ref="E136:H136"/>
    <mergeCell ref="I136:R136"/>
    <mergeCell ref="B137:D137"/>
    <mergeCell ref="E137:H137"/>
    <mergeCell ref="I137:R137"/>
    <mergeCell ref="B134:D134"/>
    <mergeCell ref="E134:H134"/>
    <mergeCell ref="I134:R134"/>
    <mergeCell ref="B135:D135"/>
    <mergeCell ref="E135:H135"/>
    <mergeCell ref="I135:R135"/>
    <mergeCell ref="B139:R139"/>
    <mergeCell ref="B140:R140"/>
    <mergeCell ref="B141:N141"/>
    <mergeCell ref="O141:R141"/>
    <mergeCell ref="B142:C145"/>
    <mergeCell ref="D142:N142"/>
    <mergeCell ref="O142:R142"/>
    <mergeCell ref="D143:N143"/>
    <mergeCell ref="O143:R143"/>
    <mergeCell ref="D144:N144"/>
    <mergeCell ref="D149:N149"/>
    <mergeCell ref="O149:R149"/>
    <mergeCell ref="B150:C151"/>
    <mergeCell ref="D150:N150"/>
    <mergeCell ref="O150:R150"/>
    <mergeCell ref="D151:N151"/>
    <mergeCell ref="O151:R151"/>
    <mergeCell ref="O144:R144"/>
    <mergeCell ref="D145:N145"/>
    <mergeCell ref="O145:R145"/>
    <mergeCell ref="B146:C149"/>
    <mergeCell ref="D146:N146"/>
    <mergeCell ref="O146:R146"/>
    <mergeCell ref="D147:N147"/>
    <mergeCell ref="O147:R147"/>
    <mergeCell ref="D148:N148"/>
    <mergeCell ref="O148:R148"/>
    <mergeCell ref="B152:C152"/>
    <mergeCell ref="D152:N152"/>
    <mergeCell ref="O152:R152"/>
    <mergeCell ref="B154:R154"/>
    <mergeCell ref="B155:R155"/>
    <mergeCell ref="B156:D156"/>
    <mergeCell ref="E156:F156"/>
    <mergeCell ref="G156:J156"/>
    <mergeCell ref="K156:M156"/>
    <mergeCell ref="N156:R156"/>
    <mergeCell ref="B157:D157"/>
    <mergeCell ref="E157:F157"/>
    <mergeCell ref="G157:J157"/>
    <mergeCell ref="K157:M157"/>
    <mergeCell ref="N157:R157"/>
    <mergeCell ref="B158:D158"/>
    <mergeCell ref="E158:F158"/>
    <mergeCell ref="G158:J158"/>
    <mergeCell ref="K158:M158"/>
    <mergeCell ref="N158:R158"/>
    <mergeCell ref="B162:R162"/>
    <mergeCell ref="B163:J163"/>
    <mergeCell ref="K163:R163"/>
    <mergeCell ref="B164:J164"/>
    <mergeCell ref="K164:R164"/>
    <mergeCell ref="B165:J165"/>
    <mergeCell ref="K165:R165"/>
    <mergeCell ref="B159:D159"/>
    <mergeCell ref="E159:F159"/>
    <mergeCell ref="G159:J159"/>
    <mergeCell ref="K159:M159"/>
    <mergeCell ref="N159:R159"/>
    <mergeCell ref="B160:D160"/>
    <mergeCell ref="E160:F160"/>
    <mergeCell ref="G160:J160"/>
    <mergeCell ref="K160:M160"/>
    <mergeCell ref="N160:R160"/>
    <mergeCell ref="B171:C173"/>
    <mergeCell ref="D171:N171"/>
    <mergeCell ref="O171:R171"/>
    <mergeCell ref="D172:N172"/>
    <mergeCell ref="O172:R172"/>
    <mergeCell ref="D173:N173"/>
    <mergeCell ref="O173:R173"/>
    <mergeCell ref="B166:J166"/>
    <mergeCell ref="K166:R166"/>
    <mergeCell ref="B167:J167"/>
    <mergeCell ref="K167:R167"/>
    <mergeCell ref="B169:R169"/>
    <mergeCell ref="B170:R170"/>
    <mergeCell ref="B182:R182"/>
    <mergeCell ref="B183:N183"/>
    <mergeCell ref="O183:R183"/>
    <mergeCell ref="B184:N184"/>
    <mergeCell ref="O184:R184"/>
    <mergeCell ref="B185:N185"/>
    <mergeCell ref="O185:R185"/>
    <mergeCell ref="B174:C177"/>
    <mergeCell ref="D174:N174"/>
    <mergeCell ref="O174:R180"/>
    <mergeCell ref="D175:N175"/>
    <mergeCell ref="D176:N176"/>
    <mergeCell ref="D177:N177"/>
    <mergeCell ref="B178:C180"/>
    <mergeCell ref="D178:N178"/>
    <mergeCell ref="D179:N179"/>
    <mergeCell ref="D180:N180"/>
  </mergeCells>
  <phoneticPr fontId="2" type="noConversion"/>
  <dataValidations count="2">
    <dataValidation type="list" allowBlank="1" showInputMessage="1" showErrorMessage="1" sqref="I134:R137" xr:uid="{D9ECF65F-77A4-4C63-A0A2-2FD6FE54E03D}">
      <formula1>"i,ii"</formula1>
    </dataValidation>
    <dataValidation type="list" allowBlank="1" showInputMessage="1" showErrorMessage="1" sqref="O4:R4 O120:R122" xr:uid="{6D1DBD6B-BA02-4508-B57A-1A0444C77657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1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BE34-24FA-454A-9ACE-D3A309D80DE3}">
  <sheetPr codeName="Sheet14"/>
  <dimension ref="B2:J3"/>
  <sheetViews>
    <sheetView workbookViewId="0">
      <selection activeCell="G7" sqref="G7"/>
    </sheetView>
  </sheetViews>
  <sheetFormatPr defaultRowHeight="16.5" x14ac:dyDescent="0.3"/>
  <cols>
    <col min="2" max="3" width="5.25" bestFit="1" customWidth="1"/>
    <col min="4" max="4" width="9" bestFit="1" customWidth="1"/>
    <col min="5" max="5" width="8" bestFit="1" customWidth="1"/>
    <col min="6" max="6" width="13.75" bestFit="1" customWidth="1"/>
    <col min="7" max="7" width="49.125" bestFit="1" customWidth="1"/>
    <col min="8" max="8" width="11" bestFit="1" customWidth="1"/>
    <col min="9" max="10" width="12.375" bestFit="1" customWidth="1"/>
  </cols>
  <sheetData>
    <row r="2" spans="2:10" x14ac:dyDescent="0.3">
      <c r="E2" t="s">
        <v>820</v>
      </c>
    </row>
    <row r="3" spans="2:10" x14ac:dyDescent="0.3">
      <c r="B3" t="s">
        <v>817</v>
      </c>
      <c r="C3" t="s">
        <v>818</v>
      </c>
      <c r="D3" t="s">
        <v>819</v>
      </c>
      <c r="E3" t="s">
        <v>310</v>
      </c>
      <c r="F3" t="s">
        <v>312</v>
      </c>
      <c r="G3" t="s">
        <v>821</v>
      </c>
      <c r="H3" t="s">
        <v>822</v>
      </c>
      <c r="I3" t="s">
        <v>823</v>
      </c>
      <c r="J3" t="s">
        <v>824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5"/>
  <dimension ref="A1:B14"/>
  <sheetViews>
    <sheetView workbookViewId="0"/>
  </sheetViews>
  <sheetFormatPr defaultRowHeight="16.5" x14ac:dyDescent="0.3"/>
  <sheetData>
    <row r="1" spans="1:2" x14ac:dyDescent="0.3">
      <c r="A1" t="s">
        <v>766</v>
      </c>
      <c r="B1" t="s">
        <v>767</v>
      </c>
    </row>
    <row r="2" spans="1:2" x14ac:dyDescent="0.3">
      <c r="A2" t="s">
        <v>768</v>
      </c>
      <c r="B2" t="s">
        <v>769</v>
      </c>
    </row>
    <row r="3" spans="1:2" x14ac:dyDescent="0.3">
      <c r="A3" t="s">
        <v>770</v>
      </c>
      <c r="B3" t="s">
        <v>771</v>
      </c>
    </row>
    <row r="4" spans="1:2" x14ac:dyDescent="0.3">
      <c r="A4" t="s">
        <v>772</v>
      </c>
      <c r="B4" t="s">
        <v>773</v>
      </c>
    </row>
    <row r="5" spans="1:2" x14ac:dyDescent="0.3">
      <c r="A5" t="s">
        <v>774</v>
      </c>
      <c r="B5" t="s">
        <v>775</v>
      </c>
    </row>
    <row r="6" spans="1:2" x14ac:dyDescent="0.3">
      <c r="A6" t="s">
        <v>776</v>
      </c>
      <c r="B6" t="s">
        <v>777</v>
      </c>
    </row>
    <row r="7" spans="1:2" x14ac:dyDescent="0.3">
      <c r="A7" t="s">
        <v>778</v>
      </c>
      <c r="B7" t="s">
        <v>779</v>
      </c>
    </row>
    <row r="8" spans="1:2" x14ac:dyDescent="0.3">
      <c r="A8" t="s">
        <v>780</v>
      </c>
      <c r="B8">
        <v>1</v>
      </c>
    </row>
    <row r="9" spans="1:2" x14ac:dyDescent="0.3">
      <c r="A9" t="s">
        <v>781</v>
      </c>
      <c r="B9">
        <v>1</v>
      </c>
    </row>
    <row r="10" spans="1:2" x14ac:dyDescent="0.3">
      <c r="A10" t="s">
        <v>782</v>
      </c>
      <c r="B10">
        <v>1</v>
      </c>
    </row>
    <row r="11" spans="1:2" x14ac:dyDescent="0.3">
      <c r="A11" t="s">
        <v>783</v>
      </c>
      <c r="B11">
        <v>1</v>
      </c>
    </row>
    <row r="12" spans="1:2" x14ac:dyDescent="0.3">
      <c r="A12" t="s">
        <v>784</v>
      </c>
      <c r="B12">
        <v>1</v>
      </c>
    </row>
    <row r="13" spans="1:2" x14ac:dyDescent="0.3">
      <c r="A13" t="s">
        <v>785</v>
      </c>
      <c r="B13" t="s">
        <v>786</v>
      </c>
    </row>
    <row r="14" spans="1:2" x14ac:dyDescent="0.3">
      <c r="A14" t="s">
        <v>787</v>
      </c>
      <c r="B14" t="s">
        <v>788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B1420569E874D84F005864FA1CF20" ma:contentTypeVersion="14" ma:contentTypeDescription="Create a new document." ma:contentTypeScope="" ma:versionID="781d7b9af9cc3a659dcb888213a65bb7">
  <xsd:schema xmlns:xsd="http://www.w3.org/2001/XMLSchema" xmlns:xs="http://www.w3.org/2001/XMLSchema" xmlns:p="http://schemas.microsoft.com/office/2006/metadata/properties" xmlns:ns2="612c7f13-cc93-4965-97ab-e3c32cd2228c" xmlns:ns3="80a1c9d0-6e8c-4946-9469-efd6bd4061c4" targetNamespace="http://schemas.microsoft.com/office/2006/metadata/properties" ma:root="true" ma:fieldsID="051e133dd37b0df67e7cfbc048576acc" ns2:_="" ns3:_="">
    <xsd:import namespace="612c7f13-cc93-4965-97ab-e3c32cd2228c"/>
    <xsd:import namespace="80a1c9d0-6e8c-4946-9469-efd6bd406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c7f13-cc93-4965-97ab-e3c32cd222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1c9d0-6e8c-4946-9469-efd6bd4061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79de23-2939-4124-8b3d-e08ee0d82ffa}" ma:internalName="TaxCatchAll" ma:showField="CatchAllData" ma:web="80a1c9d0-6e8c-4946-9469-efd6bd4061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2c7f13-cc93-4965-97ab-e3c32cd2228c">
      <Terms xmlns="http://schemas.microsoft.com/office/infopath/2007/PartnerControls"/>
    </lcf76f155ced4ddcb4097134ff3c332f>
    <TaxCatchAll xmlns="80a1c9d0-6e8c-4946-9469-efd6bd4061c4" xsi:nil="true"/>
  </documentManagement>
</p:properties>
</file>

<file path=customXml/itemProps1.xml><?xml version="1.0" encoding="utf-8"?>
<ds:datastoreItem xmlns:ds="http://schemas.openxmlformats.org/officeDocument/2006/customXml" ds:itemID="{4F52172B-A6AA-49BE-88B9-BFEE591E1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c7f13-cc93-4965-97ab-e3c32cd2228c"/>
    <ds:schemaRef ds:uri="80a1c9d0-6e8c-4946-9469-efd6bd4061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C3C2E8-F12F-4F8C-9328-3A90C3ADE3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F8A1A8-F05A-40F0-99C6-B70BC6FA84B6}">
  <ds:schemaRefs>
    <ds:schemaRef ds:uri="80a1c9d0-6e8c-4946-9469-efd6bd4061c4"/>
    <ds:schemaRef ds:uri="http://schemas.openxmlformats.org/package/2006/metadata/core-properties"/>
    <ds:schemaRef ds:uri="612c7f13-cc93-4965-97ab-e3c32cd2228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작성요령</vt:lpstr>
      <vt:lpstr>구성기업</vt:lpstr>
      <vt:lpstr>목차</vt:lpstr>
      <vt:lpstr>MNE그룹 정보</vt:lpstr>
      <vt:lpstr>최종모기업</vt:lpstr>
      <vt:lpstr>그룹구조</vt:lpstr>
      <vt:lpstr>제외기업</vt:lpstr>
      <vt:lpstr>그룹구조 변동</vt:lpstr>
      <vt:lpstr>요약</vt:lpstr>
      <vt:lpstr>적용면제</vt:lpstr>
      <vt:lpstr>UTPR 배분</vt:lpstr>
      <vt:lpstr>국가별 계산</vt:lpstr>
      <vt:lpstr>구성기업 계산</vt:lpstr>
      <vt:lpstr>from_template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Min-Hoon Choi (KR - Tax)</dc:creator>
  <cp:keywords/>
  <dc:description/>
  <cp:lastModifiedBy>Jaewon Kim (KR - Tax)</cp:lastModifiedBy>
  <cp:revision/>
  <cp:lastPrinted>2026-04-21T00:36:31Z</cp:lastPrinted>
  <dcterms:created xsi:type="dcterms:W3CDTF">2024-11-04T07:57:30Z</dcterms:created>
  <dcterms:modified xsi:type="dcterms:W3CDTF">2026-04-24T05:08:44Z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0x010100C17B1420569E874D84F005864FA1CF20</vt:lpwstr>
  </property>
  <property fmtid="{D5CDD505-2E9C-101B-9397-08002B2CF9AE}" pid="3" name="MediaServiceImageTags">
    <vt:lpwstr/>
  </property>
</Properties>
</file>