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현재_통합_문서"/>
  <mc:AlternateContent xmlns:mc="http://schemas.openxmlformats.org/markup-compatibility/2006">
    <mc:Choice Requires="x15">
      <x15ac:absPath xmlns:x15ac="http://schemas.microsoft.com/office/spreadsheetml/2010/11/ac" url="C:\Users\jaewo\Desktop\work\mapper\Resources\"/>
    </mc:Choice>
  </mc:AlternateContent>
  <xr:revisionPtr revIDLastSave="0" documentId="13_ncr:1_{7DEA9E39-93B8-42E9-944C-A081D505DA79}" xr6:coauthVersionLast="47" xr6:coauthVersionMax="47" xr10:uidLastSave="{00000000-0000-0000-0000-000000000000}"/>
  <bookViews>
    <workbookView xWindow="-103" yWindow="-103" windowWidth="33120" windowHeight="18000" tabRatio="948" xr2:uid="{00000000-000D-0000-FFFF-FFFF00000000}"/>
  </bookViews>
  <sheets>
    <sheet name="작성요령" sheetId="33" r:id="rId1"/>
    <sheet name="구성기업" sheetId="34" r:id="rId2"/>
    <sheet name="코드정보" sheetId="42" r:id="rId3"/>
    <sheet name="목차" sheetId="39" r:id="rId4"/>
    <sheet name="MNE그룹 정보" sheetId="1" r:id="rId5"/>
    <sheet name="최종모기업" sheetId="2" r:id="rId6"/>
    <sheet name="그룹구조" sheetId="3" r:id="rId7"/>
    <sheet name="제외기업" sheetId="5" r:id="rId8"/>
    <sheet name="그룹구조 변동" sheetId="6" r:id="rId9"/>
    <sheet name="요약" sheetId="7" r:id="rId10"/>
    <sheet name="적용면제" sheetId="8" r:id="rId11"/>
    <sheet name="UTPR 배분" sheetId="30" r:id="rId12"/>
    <sheet name="국가별 계산" sheetId="36" r:id="rId13"/>
    <sheet name="구성기업 계산" sheetId="38" r:id="rId14"/>
    <sheet name="from_template" sheetId="41" r:id="rId15"/>
    <sheet name="_META" sheetId="29" state="veryHidden" r:id="rId16"/>
  </sheets>
  <definedNames>
    <definedName name="_xlnm.Print_Area" localSheetId="13">'구성기업 계산'!$A$1:$R$185</definedName>
    <definedName name="_xlnm.Print_Titles" localSheetId="1">구성기업!$3:$3</definedName>
    <definedName name="_xlnm.Print_Titles" localSheetId="0">작성요령!$2:$2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1" l="1"/>
  <c r="F14" i="1"/>
  <c r="E209" i="42"/>
  <c r="E208" i="42"/>
  <c r="E207" i="42"/>
  <c r="E206" i="42"/>
  <c r="E205" i="42"/>
  <c r="E204" i="42"/>
  <c r="E203" i="42"/>
  <c r="E202" i="42"/>
  <c r="E201" i="42"/>
  <c r="E200" i="42"/>
  <c r="E199" i="42"/>
  <c r="E198" i="42"/>
  <c r="E197" i="42"/>
  <c r="E196" i="42"/>
  <c r="E195" i="42"/>
  <c r="E194" i="42"/>
  <c r="E193" i="42"/>
  <c r="E192" i="42"/>
  <c r="E191" i="42"/>
  <c r="E190" i="42"/>
  <c r="E189" i="42"/>
  <c r="E188" i="42"/>
  <c r="E187" i="42"/>
  <c r="E186" i="42"/>
  <c r="E185" i="42"/>
  <c r="E184" i="42"/>
  <c r="E183" i="42"/>
  <c r="E182" i="42"/>
  <c r="E181" i="42"/>
  <c r="E180" i="42"/>
  <c r="E179" i="42"/>
  <c r="E178" i="42"/>
  <c r="E177" i="42"/>
  <c r="E176" i="42"/>
  <c r="E175" i="42"/>
  <c r="E174" i="42"/>
  <c r="E173" i="42"/>
  <c r="E172" i="42"/>
  <c r="E171" i="42"/>
  <c r="E170" i="42"/>
  <c r="E169" i="42"/>
  <c r="E168" i="42"/>
  <c r="E167" i="42"/>
  <c r="E166" i="42"/>
  <c r="E165" i="42"/>
  <c r="E164" i="42"/>
  <c r="E163" i="42"/>
  <c r="E162" i="42"/>
  <c r="E161" i="42"/>
  <c r="E160" i="42"/>
  <c r="E159" i="42"/>
  <c r="E158" i="42"/>
  <c r="E157" i="42"/>
  <c r="E156" i="42"/>
  <c r="E155" i="42"/>
  <c r="E154" i="42"/>
  <c r="E153" i="42"/>
  <c r="E152" i="42"/>
  <c r="E151" i="42"/>
  <c r="E150" i="42"/>
  <c r="E149" i="42"/>
  <c r="E148" i="42"/>
  <c r="E147" i="42"/>
  <c r="E146" i="42"/>
  <c r="E145" i="42"/>
  <c r="E144" i="42"/>
  <c r="E143" i="42"/>
  <c r="E142" i="42"/>
  <c r="E141" i="42"/>
  <c r="E140" i="42"/>
  <c r="E139" i="42"/>
  <c r="E138" i="42"/>
  <c r="E137" i="42"/>
  <c r="E136" i="42"/>
  <c r="E135" i="42"/>
  <c r="E134" i="42"/>
  <c r="E133" i="42"/>
  <c r="E132" i="42"/>
  <c r="E131" i="42"/>
  <c r="E130" i="42"/>
  <c r="E129" i="42"/>
  <c r="E128" i="42"/>
  <c r="E127" i="42"/>
  <c r="E126" i="42"/>
  <c r="E125" i="42"/>
  <c r="E124" i="42"/>
  <c r="E123" i="42"/>
  <c r="E122" i="42"/>
  <c r="E121" i="42"/>
  <c r="E120" i="42"/>
  <c r="E119" i="42"/>
  <c r="E118" i="42"/>
  <c r="E117" i="42"/>
  <c r="E116" i="42"/>
  <c r="E115" i="42"/>
  <c r="E114" i="42"/>
  <c r="E113" i="42"/>
  <c r="E112" i="42"/>
  <c r="E111" i="42"/>
  <c r="E110" i="42"/>
  <c r="E109" i="42"/>
  <c r="E108" i="42"/>
  <c r="E107"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2"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4" i="42"/>
  <c r="E13" i="42"/>
  <c r="E12" i="42"/>
  <c r="E11" i="42"/>
  <c r="E10" i="42"/>
  <c r="E9" i="42"/>
  <c r="E8" i="42"/>
  <c r="E7" i="42"/>
  <c r="E6" i="42"/>
  <c r="E5" i="42"/>
  <c r="E4" i="42"/>
  <c r="E3" i="42"/>
  <c r="A2" i="38"/>
  <c r="A2" i="36"/>
  <c r="A2" i="8"/>
  <c r="A2" i="5"/>
  <c r="A2" i="3"/>
  <c r="A2" i="2"/>
  <c r="O149" i="38"/>
  <c r="O145" i="38"/>
  <c r="O116" i="38" a="1"/>
  <c r="O116" i="38"/>
  <c r="O88" i="38"/>
  <c r="M44" i="38"/>
  <c r="M247" i="36"/>
  <c r="M248" i="36"/>
  <c r="I222" i="36"/>
  <c r="L222" i="36"/>
  <c r="C222" i="36"/>
  <c r="N215" i="36"/>
  <c r="N217" i="36"/>
  <c r="O194" i="36"/>
  <c r="O129" i="36"/>
  <c r="O80" i="36"/>
  <c r="O104" i="36"/>
  <c r="O90" i="36"/>
  <c r="O58" i="36"/>
  <c r="E27" i="36"/>
  <c r="O105" i="36"/>
  <c r="O106" i="36"/>
  <c r="O109" i="36"/>
  <c r="O84" i="36"/>
  <c r="L27" i="36"/>
  <c r="A7" i="38"/>
  <c r="A12" i="38"/>
  <c r="A47" i="38"/>
  <c r="A52" i="38"/>
  <c r="A54" i="38"/>
  <c r="A93" i="36"/>
  <c r="A96" i="36"/>
  <c r="O27" i="36"/>
  <c r="A59" i="38"/>
  <c r="A132" i="36"/>
  <c r="J6" i="2"/>
  <c r="J7" i="2"/>
  <c r="A61" i="38"/>
  <c r="A65" i="38"/>
  <c r="A91" i="38"/>
  <c r="A93" i="38"/>
  <c r="A133" i="38"/>
  <c r="A137" i="36"/>
  <c r="A169" i="36"/>
  <c r="A259" i="36"/>
  <c r="A162" i="36"/>
  <c r="A138" i="38"/>
  <c r="A156" i="38"/>
  <c r="A161" i="38"/>
  <c r="A163" i="38"/>
  <c r="A168" i="38"/>
  <c r="A185"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김재원</author>
  </authors>
  <commentList>
    <comment ref="B2" authorId="0" shapeId="0" xr:uid="{00000000-0006-0000-0600-000001000000}">
      <text>
        <r>
          <rPr>
            <sz val="9"/>
            <color rgb="FF000000"/>
            <rFont val="Tahoma"/>
            <family val="2"/>
          </rPr>
          <t>XML</t>
        </r>
        <r>
          <rPr>
            <sz val="9"/>
            <color rgb="FF000000"/>
            <rFont val="돋움"/>
            <family val="3"/>
          </rPr>
          <t>에서</t>
        </r>
        <r>
          <rPr>
            <sz val="9"/>
            <color rgb="FF000000"/>
            <rFont val="Tahoma"/>
            <family val="2"/>
          </rPr>
          <t xml:space="preserve"> </t>
        </r>
        <r>
          <rPr>
            <sz val="9"/>
            <color rgb="FF000000"/>
            <rFont val="돋움"/>
            <family val="3"/>
          </rPr>
          <t>요구하지</t>
        </r>
        <r>
          <rPr>
            <sz val="9"/>
            <color rgb="FF000000"/>
            <rFont val="Tahoma"/>
            <family val="2"/>
          </rPr>
          <t xml:space="preserve"> </t>
        </r>
        <r>
          <rPr>
            <sz val="9"/>
            <color rgb="FF000000"/>
            <rFont val="돋움"/>
            <family val="3"/>
          </rPr>
          <t>않는</t>
        </r>
        <r>
          <rPr>
            <sz val="9"/>
            <color rgb="FF000000"/>
            <rFont val="Tahoma"/>
            <family val="2"/>
          </rPr>
          <t xml:space="preserve"> </t>
        </r>
        <r>
          <rPr>
            <sz val="9"/>
            <color rgb="FF000000"/>
            <rFont val="돋움"/>
            <family val="3"/>
          </rPr>
          <t>항목은</t>
        </r>
        <r>
          <rPr>
            <sz val="9"/>
            <color rgb="FF000000"/>
            <rFont val="Tahoma"/>
            <family val="2"/>
          </rPr>
          <t xml:space="preserve"> </t>
        </r>
        <r>
          <rPr>
            <sz val="9"/>
            <color rgb="FF000000"/>
            <rFont val="돋움"/>
            <family val="3"/>
          </rPr>
          <t>삭제하였음</t>
        </r>
      </text>
    </comment>
    <comment ref="P5" authorId="0" shapeId="0" xr:uid="{00000000-0006-0000-0600-000002000000}">
      <text>
        <r>
          <rPr>
            <sz val="9"/>
            <color rgb="FF000000"/>
            <rFont val="Tahoma"/>
            <family val="2"/>
          </rPr>
          <t>XML</t>
        </r>
        <r>
          <rPr>
            <sz val="9"/>
            <color rgb="FF000000"/>
            <rFont val="돋움"/>
            <family val="3"/>
          </rPr>
          <t>에서</t>
        </r>
        <r>
          <rPr>
            <sz val="9"/>
            <color rgb="FF000000"/>
            <rFont val="Tahoma"/>
            <family val="2"/>
          </rPr>
          <t xml:space="preserve"> </t>
        </r>
        <r>
          <rPr>
            <sz val="9"/>
            <color rgb="FF000000"/>
            <rFont val="돋움"/>
            <family val="3"/>
          </rPr>
          <t>요구</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김재원</author>
  </authors>
  <commentList>
    <comment ref="B8" authorId="0" shapeId="0" xr:uid="{00000000-0006-0000-0800-000001000000}">
      <text>
        <r>
          <rPr>
            <sz val="9"/>
            <color rgb="FF000000"/>
            <rFont val="Tahoma"/>
            <family val="2"/>
          </rPr>
          <t>XML</t>
        </r>
        <r>
          <rPr>
            <sz val="9"/>
            <color rgb="FF000000"/>
            <rFont val="돋움"/>
            <family val="3"/>
          </rPr>
          <t>에선</t>
        </r>
        <r>
          <rPr>
            <sz val="9"/>
            <color rgb="FF000000"/>
            <rFont val="Tahoma"/>
            <family val="2"/>
          </rPr>
          <t xml:space="preserve"> </t>
        </r>
        <r>
          <rPr>
            <sz val="9"/>
            <color rgb="FF000000"/>
            <rFont val="돋움"/>
            <family val="3"/>
          </rPr>
          <t>합산단위를</t>
        </r>
        <r>
          <rPr>
            <sz val="9"/>
            <color rgb="FF000000"/>
            <rFont val="Tahoma"/>
            <family val="2"/>
          </rPr>
          <t xml:space="preserve"> </t>
        </r>
        <r>
          <rPr>
            <sz val="9"/>
            <color rgb="FF000000"/>
            <rFont val="돋움"/>
            <family val="3"/>
          </rPr>
          <t>기준으로</t>
        </r>
        <r>
          <rPr>
            <sz val="9"/>
            <color rgb="FF000000"/>
            <rFont val="Tahoma"/>
            <family val="2"/>
          </rPr>
          <t xml:space="preserve"> </t>
        </r>
        <r>
          <rPr>
            <sz val="9"/>
            <color rgb="FF000000"/>
            <rFont val="돋움"/>
            <family val="3"/>
          </rPr>
          <t>요구함</t>
        </r>
      </text>
    </comment>
    <comment ref="B9" authorId="0" shapeId="0" xr:uid="{00000000-0006-0000-0800-000002000000}">
      <text>
        <r>
          <rPr>
            <sz val="9"/>
            <color rgb="FF000000"/>
            <rFont val="Tahoma"/>
            <family val="2"/>
          </rPr>
          <t xml:space="preserve">Mapping </t>
        </r>
        <r>
          <rPr>
            <sz val="9"/>
            <color rgb="FF000000"/>
            <rFont val="돋움"/>
            <family val="3"/>
          </rPr>
          <t>제외</t>
        </r>
        <r>
          <rPr>
            <sz val="9"/>
            <color rgb="FF000000"/>
            <rFont val="Tahoma"/>
            <family val="2"/>
          </rPr>
          <t xml:space="preserve"> - XML </t>
        </r>
        <r>
          <rPr>
            <sz val="9"/>
            <color rgb="FF000000"/>
            <rFont val="돋움"/>
            <family val="3"/>
          </rPr>
          <t>어느</t>
        </r>
        <r>
          <rPr>
            <sz val="9"/>
            <color rgb="FF000000"/>
            <rFont val="Tahoma"/>
            <family val="2"/>
          </rPr>
          <t xml:space="preserve"> </t>
        </r>
        <r>
          <rPr>
            <sz val="9"/>
            <color rgb="FF000000"/>
            <rFont val="돋움"/>
            <family val="3"/>
          </rPr>
          <t>항목에</t>
        </r>
        <r>
          <rPr>
            <sz val="9"/>
            <color rgb="FF000000"/>
            <rFont val="Tahoma"/>
            <family val="2"/>
          </rPr>
          <t xml:space="preserve"> </t>
        </r>
        <r>
          <rPr>
            <sz val="9"/>
            <color rgb="FF000000"/>
            <rFont val="돋움"/>
            <family val="3"/>
          </rPr>
          <t>대응하는지</t>
        </r>
        <r>
          <rPr>
            <sz val="9"/>
            <color rgb="FF000000"/>
            <rFont val="Tahoma"/>
            <family val="2"/>
          </rPr>
          <t xml:space="preserve"> </t>
        </r>
        <r>
          <rPr>
            <sz val="9"/>
            <color rgb="FF000000"/>
            <rFont val="돋움"/>
            <family val="3"/>
          </rPr>
          <t>모르겠음</t>
        </r>
      </text>
    </comment>
    <comment ref="O14" authorId="0" shapeId="0" xr:uid="{00000000-0006-0000-0800-000003000000}">
      <text>
        <r>
          <rPr>
            <sz val="9"/>
            <color rgb="FF000000"/>
            <rFont val="돋움"/>
            <family val="3"/>
          </rPr>
          <t>요약</t>
        </r>
        <r>
          <rPr>
            <sz val="9"/>
            <color rgb="FF000000"/>
            <rFont val="Tahoma"/>
            <family val="2"/>
          </rPr>
          <t xml:space="preserve"> </t>
        </r>
        <r>
          <rPr>
            <sz val="9"/>
            <color rgb="FF000000"/>
            <rFont val="돋움"/>
            <family val="3"/>
          </rPr>
          <t>시트에서</t>
        </r>
        <r>
          <rPr>
            <sz val="9"/>
            <color rgb="FF000000"/>
            <rFont val="Tahoma"/>
            <family val="2"/>
          </rPr>
          <t xml:space="preserve"> </t>
        </r>
        <r>
          <rPr>
            <sz val="9"/>
            <color rgb="FF000000"/>
            <rFont val="돋움"/>
            <family val="3"/>
          </rPr>
          <t>작성</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김재원</author>
  </authors>
  <commentList>
    <comment ref="O9" authorId="0" shapeId="0" xr:uid="{C8E95E0C-AFC2-4C16-9DC0-9071D5C8B499}">
      <text>
        <r>
          <rPr>
            <sz val="9"/>
            <color indexed="81"/>
            <rFont val="돋움"/>
            <family val="3"/>
            <charset val="129"/>
          </rPr>
          <t>필요</t>
        </r>
        <r>
          <rPr>
            <sz val="9"/>
            <color indexed="81"/>
            <rFont val="Tahoma"/>
            <family val="2"/>
          </rPr>
          <t xml:space="preserve"> </t>
        </r>
        <r>
          <rPr>
            <sz val="9"/>
            <color indexed="81"/>
            <rFont val="돋움"/>
            <family val="3"/>
            <charset val="129"/>
          </rPr>
          <t>시</t>
        </r>
        <r>
          <rPr>
            <sz val="9"/>
            <color indexed="81"/>
            <rFont val="Tahoma"/>
            <family val="2"/>
          </rPr>
          <t xml:space="preserve"> XML </t>
        </r>
        <r>
          <rPr>
            <sz val="9"/>
            <color indexed="81"/>
            <rFont val="돋움"/>
            <family val="3"/>
            <charset val="129"/>
          </rPr>
          <t>직접</t>
        </r>
        <r>
          <rPr>
            <sz val="9"/>
            <color indexed="81"/>
            <rFont val="Tahoma"/>
            <family val="2"/>
          </rPr>
          <t xml:space="preserve"> </t>
        </r>
        <r>
          <rPr>
            <sz val="9"/>
            <color indexed="81"/>
            <rFont val="돋움"/>
            <family val="3"/>
            <charset val="129"/>
          </rPr>
          <t>기재</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<sst xmlns="http://schemas.openxmlformats.org/spreadsheetml/2006/main" count="1598" uniqueCount="1180">
  <si>
    <r>
      <rPr>
        <b/>
        <sz val="11"/>
        <color theme="1"/>
        <rFont val="맑은 고딕"/>
        <family val="3"/>
        <charset val="129"/>
        <scheme val="minor"/>
      </rPr>
      <t>시트명</t>
    </r>
    <phoneticPr fontId="0" type="noConversion"/>
  </si>
  <si>
    <r>
      <rPr>
        <b/>
        <sz val="11"/>
        <color theme="1"/>
        <rFont val="맑은 고딕"/>
        <family val="3"/>
        <charset val="129"/>
        <scheme val="minor"/>
      </rPr>
      <t>항목번호</t>
    </r>
    <phoneticPr fontId="0" type="noConversion"/>
  </si>
  <si>
    <r>
      <rPr>
        <b/>
        <sz val="11"/>
        <color theme="1"/>
        <rFont val="맑은 고딕"/>
        <family val="3"/>
        <charset val="129"/>
        <scheme val="minor"/>
      </rPr>
      <t>항목명</t>
    </r>
    <phoneticPr fontId="0" type="noConversion"/>
  </si>
  <si>
    <r>
      <rPr>
        <b/>
        <sz val="11"/>
        <color theme="1"/>
        <rFont val="맑은 고딕"/>
        <family val="3"/>
        <charset val="129"/>
        <scheme val="minor"/>
      </rPr>
      <t>항목내용</t>
    </r>
    <phoneticPr fontId="0" type="noConversion"/>
  </si>
  <si>
    <r>
      <rPr>
        <b/>
        <sz val="11"/>
        <color theme="1"/>
        <rFont val="맑은 고딕"/>
        <family val="3"/>
        <charset val="129"/>
        <scheme val="minor"/>
      </rPr>
      <t>복수선택</t>
    </r>
    <phoneticPr fontId="0" type="noConversion"/>
  </si>
  <si>
    <t>기업 납세자번호</t>
    <phoneticPr fontId="2" type="noConversion"/>
  </si>
  <si>
    <r>
      <rPr>
        <sz val="11"/>
        <color theme="1"/>
        <rFont val="맑은 고딕"/>
        <family val="2"/>
        <charset val="129"/>
        <scheme val="minor"/>
      </rPr>
      <t>납세자번호, 납세자번호 유형, 발급국가를 컴마로 구분하여 기재
납세자번호 유형
GIR3001: Tax Identification Number
GIR3002: Functionally equivalent number
GIR3003: Agreed GIR designated number
GIR3004: Not required to be reported
발급국가 ISO3166-alpha2</t>
    </r>
    <phoneticPr fontId="0" type="noConversion"/>
  </si>
  <si>
    <t>하위그룹 유형</t>
    <phoneticPr fontId="0" type="noConversion"/>
  </si>
  <si>
    <t>GIR1101: Constituent Entities
GIR1102: Minority-Owned Subgroup
GIR1103: Standalone MOCEs
GIR1104: Investment Entities
GIR1105: JV Group
GIR1106: Stateless Constituent Entity</t>
  </si>
  <si>
    <t>하위그룹 최상위기업 납세자번호</t>
    <phoneticPr fontId="0" type="noConversion"/>
  </si>
  <si>
    <r>
      <rPr>
        <sz val="11"/>
        <color theme="1"/>
        <rFont val="맑은 고딕"/>
        <family val="2"/>
        <charset val="129"/>
        <scheme val="minor"/>
      </rPr>
      <t>다국적기업그룹 정보</t>
    </r>
    <phoneticPr fontId="0" type="noConversion"/>
  </si>
  <si>
    <r>
      <rPr>
        <sz val="11"/>
        <color theme="1"/>
        <rFont val="맑은 고딕"/>
        <family val="2"/>
        <charset val="129"/>
        <scheme val="minor"/>
      </rPr>
      <t>1.1.2</t>
    </r>
    <phoneticPr fontId="0" type="noConversion"/>
  </si>
  <si>
    <r>
      <rPr>
        <sz val="11"/>
        <color theme="1"/>
        <rFont val="맑은 고딕"/>
        <family val="2"/>
        <charset val="129"/>
        <scheme val="minor"/>
      </rPr>
      <t>신고구성기업 상호</t>
    </r>
    <phoneticPr fontId="0" type="noConversion"/>
  </si>
  <si>
    <r>
      <rPr>
        <sz val="11"/>
        <color theme="1"/>
        <rFont val="맑은 고딕"/>
        <family val="2"/>
        <charset val="129"/>
        <scheme val="minor"/>
      </rPr>
      <t>영문명을 기재합니다.
국문명도 기재하고자 하는 경우 영문명, 국문명을 세미콜론(;)을 기준으로 구분하여 기재합니다.</t>
    </r>
    <phoneticPr fontId="0" type="noConversion"/>
  </si>
  <si>
    <r>
      <rPr>
        <sz val="11"/>
        <color theme="1"/>
        <rFont val="맑은 고딕"/>
        <family val="2"/>
        <charset val="129"/>
        <scheme val="minor"/>
      </rPr>
      <t>1.1.3</t>
    </r>
    <phoneticPr fontId="0" type="noConversion"/>
  </si>
  <si>
    <r>
      <rPr>
        <sz val="11"/>
        <color theme="1"/>
        <rFont val="맑은 고딕"/>
        <family val="2"/>
        <charset val="129"/>
        <scheme val="minor"/>
      </rPr>
      <t>납세자번호</t>
    </r>
    <phoneticPr fontId="0" type="noConversion"/>
  </si>
  <si>
    <r>
      <rPr>
        <sz val="11"/>
        <color theme="1"/>
        <rFont val="맑은 고딕"/>
        <family val="2"/>
        <charset val="129"/>
        <scheme val="minor"/>
      </rPr>
      <t>1.1.4</t>
    </r>
    <phoneticPr fontId="0" type="noConversion"/>
  </si>
  <si>
    <r>
      <rPr>
        <sz val="11"/>
        <color theme="1"/>
        <rFont val="맑은 고딕"/>
        <family val="2"/>
        <charset val="129"/>
        <scheme val="minor"/>
      </rPr>
      <t>신고구성기업 지위</t>
    </r>
    <phoneticPr fontId="0" type="noConversion"/>
  </si>
  <si>
    <t>GIR401: UPE
GIR402: Designated Filing Entity
GIR403: Designated Local Entity
GIR404: Constituent Entity
GIR405: Other</t>
  </si>
  <si>
    <r>
      <rPr>
        <sz val="11"/>
        <color theme="1"/>
        <rFont val="맑은 고딕"/>
        <family val="2"/>
        <charset val="129"/>
        <scheme val="minor"/>
      </rPr>
      <t>1.1.5</t>
    </r>
    <phoneticPr fontId="0" type="noConversion"/>
  </si>
  <si>
    <r>
      <rPr>
        <sz val="11"/>
        <color theme="1"/>
        <rFont val="맑은 고딕"/>
        <family val="2"/>
        <charset val="129"/>
        <scheme val="minor"/>
      </rPr>
      <t>신고구성기업 소재지국</t>
    </r>
    <phoneticPr fontId="0" type="noConversion"/>
  </si>
  <si>
    <r>
      <rPr>
        <sz val="11"/>
        <color theme="1"/>
        <rFont val="맑은 고딕"/>
        <family val="2"/>
        <charset val="129"/>
        <scheme val="minor"/>
      </rPr>
      <t>ISO3166-alpha2 예시) KR</t>
    </r>
    <phoneticPr fontId="0" type="noConversion"/>
  </si>
  <si>
    <r>
      <rPr>
        <sz val="11"/>
        <color theme="1"/>
        <rFont val="맑은 고딕"/>
        <family val="2"/>
        <charset val="129"/>
        <scheme val="minor"/>
      </rPr>
      <t>1.1.6</t>
    </r>
    <phoneticPr fontId="0" type="noConversion"/>
  </si>
  <si>
    <r>
      <rPr>
        <sz val="11"/>
        <color theme="1"/>
        <rFont val="맑은 고딕"/>
        <family val="2"/>
        <charset val="129"/>
        <scheme val="minor"/>
      </rPr>
      <t>연례 자동정보 교환당사국</t>
    </r>
    <phoneticPr fontId="0" type="noConversion"/>
  </si>
  <si>
    <r>
      <rPr>
        <sz val="11"/>
        <color theme="1"/>
        <rFont val="맑은 고딕"/>
        <family val="2"/>
        <charset val="129"/>
        <scheme val="minor"/>
      </rPr>
      <t>1.2.2.1</t>
    </r>
    <phoneticPr fontId="0" type="noConversion"/>
  </si>
  <si>
    <r>
      <rPr>
        <sz val="11"/>
        <color theme="1"/>
        <rFont val="맑은 고딕"/>
        <family val="2"/>
        <charset val="129"/>
        <scheme val="minor"/>
      </rPr>
      <t>최종모기업 연결재무제표(유형)</t>
    </r>
    <phoneticPr fontId="0" type="noConversion"/>
  </si>
  <si>
    <r>
      <rPr>
        <sz val="11"/>
        <color theme="1"/>
        <rFont val="맑은 고딕"/>
        <family val="2"/>
        <charset val="129"/>
        <scheme val="minor"/>
      </rPr>
      <t>MR 54~55p Consolidated FS 정의
GIR501: (a)
GIR502: (b)
GIR503: (c)
GIR504: (d)</t>
    </r>
    <phoneticPr fontId="0" type="noConversion"/>
  </si>
  <si>
    <r>
      <rPr>
        <sz val="11"/>
        <color theme="1"/>
        <rFont val="맑은 고딕"/>
        <family val="2"/>
        <charset val="129"/>
        <scheme val="minor"/>
      </rPr>
      <t>1.2.2.3</t>
    </r>
    <phoneticPr fontId="0" type="noConversion"/>
  </si>
  <si>
    <r>
      <rPr>
        <sz val="11"/>
        <color theme="1"/>
        <rFont val="맑은 고딕"/>
        <family val="2"/>
        <charset val="129"/>
        <scheme val="minor"/>
      </rPr>
      <t>최종모기업 연결재무제표 통화</t>
    </r>
    <phoneticPr fontId="0" type="noConversion"/>
  </si>
  <si>
    <r>
      <rPr>
        <sz val="11"/>
        <color theme="1"/>
        <rFont val="맑은 고딕"/>
        <family val="2"/>
        <charset val="129"/>
        <scheme val="minor"/>
      </rPr>
      <t>ISO4217-alpha3 예시) KRW</t>
    </r>
    <phoneticPr fontId="0" type="noConversion"/>
  </si>
  <si>
    <r>
      <rPr>
        <sz val="11"/>
        <color theme="1"/>
        <rFont val="맑은 고딕"/>
        <family val="2"/>
        <charset val="129"/>
        <scheme val="minor"/>
      </rPr>
      <t>최종모기업</t>
    </r>
    <phoneticPr fontId="0" type="noConversion"/>
  </si>
  <si>
    <r>
      <rPr>
        <sz val="11"/>
        <color theme="1"/>
        <rFont val="맑은 고딕"/>
        <family val="2"/>
        <charset val="129"/>
        <scheme val="minor"/>
      </rPr>
      <t>1.3.1.2</t>
    </r>
    <phoneticPr fontId="0" type="noConversion"/>
  </si>
  <si>
    <r>
      <rPr>
        <sz val="11"/>
        <color theme="1"/>
        <rFont val="맑은 고딕"/>
        <family val="2"/>
        <charset val="129"/>
        <scheme val="minor"/>
      </rPr>
      <t>적용가능규칙</t>
    </r>
    <phoneticPr fontId="0" type="noConversion"/>
  </si>
  <si>
    <t>GIR201: QIIR ─ 다른 소재지국 저율과세구성기업에만 적용
GIR202: QIIR ─ 다른 소재지국 + 모기업 소재지국 저율과세구성기업 모두 적용
GIR203: QUTPR
GIR204: QDMTT
GIR205: Not Applicable</t>
  </si>
  <si>
    <r>
      <rPr>
        <sz val="11"/>
        <color theme="1"/>
        <rFont val="맑은 고딕"/>
        <family val="2"/>
        <charset val="129"/>
        <scheme val="minor"/>
      </rPr>
      <t>가능(컴마로 구분)</t>
    </r>
    <phoneticPr fontId="0" type="noConversion"/>
  </si>
  <si>
    <r>
      <rPr>
        <sz val="11"/>
        <color theme="1"/>
        <rFont val="맑은 고딕"/>
        <family val="2"/>
        <charset val="129"/>
        <scheme val="minor"/>
      </rPr>
      <t>1.3.1.4</t>
    </r>
    <phoneticPr fontId="0" type="noConversion"/>
  </si>
  <si>
    <r>
      <rPr>
        <sz val="11"/>
        <color theme="1"/>
        <rFont val="맑은 고딕"/>
        <family val="2"/>
        <charset val="129"/>
        <scheme val="minor"/>
      </rPr>
      <t>최종모기업 납세자번호</t>
    </r>
    <phoneticPr fontId="0" type="noConversion"/>
  </si>
  <si>
    <r>
      <rPr>
        <sz val="11"/>
        <color theme="1"/>
        <rFont val="맑은 고딕"/>
        <family val="2"/>
        <charset val="129"/>
        <scheme val="minor"/>
      </rPr>
      <t>1.3.1.6</t>
    </r>
    <phoneticPr fontId="0" type="noConversion"/>
  </si>
  <si>
    <r>
      <rPr>
        <sz val="11"/>
        <color theme="1"/>
        <rFont val="맑은 고딕"/>
        <family val="2"/>
        <charset val="129"/>
        <scheme val="minor"/>
      </rPr>
      <t>글로벌최저한세 목적상 기업유형</t>
    </r>
    <phoneticPr fontId="0" type="noConversion"/>
  </si>
  <si>
    <t>GIR701: Constituent Entity
GIR702: Flow-Through Entity - Tax Transparent
GIR703: Flow-Through Entity - Reverse Hybrid
GIR704: Hybrid Entity
GIR705: Permanent Establishment
GIR706: Main Entity
GIR707: Minority-Owned Parent Entity
GIR708: Minority-Owned Subsidiary
GIR709: Minority-Owned Constituent ENtity
GIR710: Investment Entity
GIR711: Insurance Investment Entity
GIR712: Securitisation Entity
GIR713: JV
GIR714: JV Subsidiary
GIR715: Non-Material Constituent Entity
GIR716: POPE
GIR717: Intermediate Parent Entity
GIR718: Ultimate Parent Entity
GIR719: Excluded Entity
GIR720: Parent Entity Required to apply a QIIR under Art 10.3.5
GIR721: Non-Group member</t>
  </si>
  <si>
    <r>
      <rPr>
        <sz val="11"/>
        <color theme="1"/>
        <rFont val="맑은 고딕"/>
        <family val="2"/>
        <charset val="129"/>
        <scheme val="minor"/>
      </rPr>
      <t>1.3.1.7</t>
    </r>
    <phoneticPr fontId="0" type="noConversion"/>
  </si>
  <si>
    <r>
      <rPr>
        <sz val="11"/>
        <color theme="1"/>
        <rFont val="맑은 고딕"/>
        <family val="2"/>
        <charset val="129"/>
        <scheme val="minor"/>
      </rPr>
      <t>제외기업 유형</t>
    </r>
    <phoneticPr fontId="0" type="noConversion"/>
  </si>
  <si>
    <t>GIR601: Governmental Entity
GIR602: International Organisation
GIR603: Non-profit Organisation
GIR604: Pension Fund
GIR605: Investment Fund that is an UPE
GIR606: Real Estate Investment Vehicle that is an UPE</t>
  </si>
  <si>
    <r>
      <rPr>
        <sz val="11"/>
        <color theme="1"/>
        <rFont val="맑은 고딕"/>
        <family val="2"/>
        <charset val="129"/>
        <scheme val="minor"/>
      </rPr>
      <t>1.3.1.8</t>
    </r>
    <phoneticPr fontId="0" type="noConversion"/>
  </si>
  <si>
    <r>
      <rPr>
        <sz val="11"/>
        <color theme="1"/>
        <rFont val="맑은 고딕"/>
        <family val="2"/>
        <charset val="129"/>
        <scheme val="minor"/>
      </rPr>
      <t>국조령 제103조제4항 적용 국가에 해당되는 경우</t>
    </r>
    <phoneticPr fontId="0" type="noConversion"/>
  </si>
  <si>
    <r>
      <rPr>
        <sz val="11"/>
        <color theme="1"/>
        <rFont val="맑은 고딕"/>
        <family val="2"/>
        <charset val="129"/>
        <scheme val="minor"/>
      </rPr>
      <t>그룹구조</t>
    </r>
    <phoneticPr fontId="0" type="noConversion"/>
  </si>
  <si>
    <r>
      <rPr>
        <sz val="11"/>
        <color theme="1"/>
        <rFont val="맑은 고딕"/>
        <family val="2"/>
        <charset val="129"/>
        <scheme val="minor"/>
      </rPr>
      <t>1.3.2.1.2</t>
    </r>
    <phoneticPr fontId="0" type="noConversion"/>
  </si>
  <si>
    <r>
      <rPr>
        <sz val="11"/>
        <color theme="1"/>
        <rFont val="맑은 고딕"/>
        <family val="2"/>
        <charset val="129"/>
        <scheme val="minor"/>
      </rPr>
      <t>소재지국</t>
    </r>
    <phoneticPr fontId="0" type="noConversion"/>
  </si>
  <si>
    <r>
      <rPr>
        <sz val="11"/>
        <color theme="1"/>
        <rFont val="맑은 고딕"/>
        <family val="2"/>
        <charset val="129"/>
        <scheme val="minor"/>
      </rPr>
      <t>1.3.2.1.3</t>
    </r>
    <phoneticPr fontId="0" type="noConversion"/>
  </si>
  <si>
    <r>
      <rPr>
        <sz val="11"/>
        <color theme="1"/>
        <rFont val="맑은 고딕"/>
        <family val="2"/>
        <charset val="129"/>
        <scheme val="minor"/>
      </rPr>
      <t>1.3.2.1.4</t>
    </r>
    <phoneticPr fontId="0" type="noConversion"/>
  </si>
  <si>
    <r>
      <rPr>
        <sz val="11"/>
        <color theme="1"/>
        <rFont val="맑은 고딕"/>
        <family val="2"/>
        <charset val="129"/>
        <scheme val="minor"/>
      </rPr>
      <t>구성기업, 공동기업 또는 공동기업 자회사의 상호</t>
    </r>
    <phoneticPr fontId="0" type="noConversion"/>
  </si>
  <si>
    <r>
      <rPr>
        <sz val="11"/>
        <color theme="1"/>
        <rFont val="맑은 고딕"/>
        <family val="2"/>
        <charset val="129"/>
        <scheme val="minor"/>
      </rPr>
      <t>영문명을 기재합니다. 
국문명도 기재하고자 하는 경우 영문명, 국문명을 세미콜론(;)을 기준으로 구분하여 기재합니다.</t>
    </r>
    <phoneticPr fontId="0" type="noConversion"/>
  </si>
  <si>
    <r>
      <rPr>
        <sz val="11"/>
        <color theme="1"/>
        <rFont val="맑은 고딕"/>
        <family val="2"/>
        <charset val="129"/>
        <scheme val="minor"/>
      </rPr>
      <t>1.3.2.1.5</t>
    </r>
    <phoneticPr fontId="0" type="noConversion"/>
  </si>
  <si>
    <r>
      <rPr>
        <sz val="11"/>
        <color theme="1"/>
        <rFont val="맑은 고딕"/>
        <family val="2"/>
        <charset val="129"/>
        <scheme val="minor"/>
      </rPr>
      <t>1.3.2.1.7</t>
    </r>
    <phoneticPr fontId="0" type="noConversion"/>
  </si>
  <si>
    <t>GIR301: Constituent Entity
GIR302: Flow-Through Entity - Tax Transparent
GIR303: Flow-Through Entity - Reverse Hybrid
GIR304: Hybrid Entity
GIR305: Permanent Establishment
GIR306: Main Entity
GIR307: Minority-Owned Parent Entity
GIR308: Minority-Owned Subsidiary
GIR309: Minority-Owned Constituent Entity
GIR310: Investment Entity
GIR311: Insurance Investment Entity
GIR312: Securitisation Entity
GIR313: JV
GIR314: JV Subsidiary
GIR315: Non-Material Constituent Entity
GIR316: Excluded Entity
GIR317: Parent Entity required to apply a QIIR under Article 10.3.5
GIR318: Non-group Member</t>
  </si>
  <si>
    <t>1.3.2.1.8~10</t>
    <phoneticPr fontId="0" type="noConversion"/>
  </si>
  <si>
    <t>소유지분구조</t>
    <phoneticPr fontId="2" type="noConversion"/>
  </si>
  <si>
    <t>모기업 유형, 납세자번호, 납세자번호 유형, 발급국가, 소유지분(0~1 값으로 기재)을 콤마로 구분하여 기재
예시) GIR801, 12345, GIR3001, KR, 1
모기업 유형
GIR801: UPE
GIR802: Constituent Entities
GIR803: JVs
GIR804: JV Subsidiaries
GIR805: Excluded Entities (aggregate)
GIR806: Non-Group members (aggregate)
납세자번호 유형
GIR3001: Tax Identification Number
GIR3002: Functionally equivalent number
GIR3003: Agreed GIR designated number
GIR3004: Not required to be reported
발급국가 ISO3166-alpha2</t>
    <phoneticPr fontId="2" type="noConversion"/>
  </si>
  <si>
    <t>가능(세미콜론으로 구분)</t>
    <phoneticPr fontId="0" type="noConversion"/>
  </si>
  <si>
    <r>
      <rPr>
        <sz val="11"/>
        <color theme="1"/>
        <rFont val="맑은 고딕"/>
        <family val="2"/>
        <charset val="129"/>
        <scheme val="minor"/>
      </rPr>
      <t>1.3.2.1.11</t>
    </r>
    <phoneticPr fontId="0" type="noConversion"/>
  </si>
  <si>
    <r>
      <rPr>
        <sz val="11"/>
        <color theme="1"/>
        <rFont val="맑은 고딕"/>
        <family val="2"/>
        <charset val="129"/>
        <scheme val="minor"/>
      </rPr>
      <t>모기업 유형</t>
    </r>
    <phoneticPr fontId="0" type="noConversion"/>
  </si>
  <si>
    <r>
      <rPr>
        <sz val="11"/>
        <color theme="1"/>
        <rFont val="맑은 고딕"/>
        <family val="2"/>
        <charset val="129"/>
        <scheme val="minor"/>
      </rPr>
      <t>GIR901: POPE
GIR902: Intermediate Parent Entity
GIR903: Parent Entity required to apply a QIIR under Art. 10.3.5</t>
    </r>
    <phoneticPr fontId="0" type="noConversion"/>
  </si>
  <si>
    <r>
      <rPr>
        <sz val="11"/>
        <color theme="1"/>
        <rFont val="맑은 고딕"/>
        <family val="2"/>
        <charset val="129"/>
        <scheme val="minor"/>
      </rPr>
      <t>1.3.2.1.12</t>
    </r>
    <phoneticPr fontId="0" type="noConversion"/>
  </si>
  <si>
    <r>
      <rPr>
        <sz val="11"/>
        <color theme="1"/>
        <rFont val="맑은 고딕"/>
        <family val="2"/>
        <charset val="129"/>
        <scheme val="minor"/>
      </rPr>
      <t>Art2.1.3에 따른 모기업의 납세자번호</t>
    </r>
    <phoneticPr fontId="0" type="noConversion"/>
  </si>
  <si>
    <r>
      <rPr>
        <sz val="11"/>
        <color theme="1"/>
        <rFont val="맑은 고딕"/>
        <family val="2"/>
        <charset val="129"/>
        <scheme val="minor"/>
      </rPr>
      <t>1.3.2.1.13</t>
    </r>
    <phoneticPr fontId="0" type="noConversion"/>
  </si>
  <si>
    <r>
      <rPr>
        <sz val="11"/>
        <color theme="1"/>
        <rFont val="맑은 고딕"/>
        <family val="2"/>
        <charset val="129"/>
        <scheme val="minor"/>
      </rPr>
      <t>Art2.1.5에 따른 모기업의 납세자번호</t>
    </r>
    <phoneticPr fontId="0" type="noConversion"/>
  </si>
  <si>
    <r>
      <rPr>
        <sz val="11"/>
        <color theme="1"/>
        <rFont val="맑은 고딕"/>
        <family val="2"/>
        <charset val="129"/>
        <scheme val="minor"/>
      </rPr>
      <t>제외기업</t>
    </r>
    <phoneticPr fontId="0" type="noConversion"/>
  </si>
  <si>
    <r>
      <rPr>
        <sz val="11"/>
        <color theme="1"/>
        <rFont val="맑은 고딕"/>
        <family val="2"/>
        <charset val="129"/>
        <scheme val="minor"/>
      </rPr>
      <t>1.3.2.2.2</t>
    </r>
    <phoneticPr fontId="0" type="noConversion"/>
  </si>
  <si>
    <r>
      <rPr>
        <sz val="11"/>
        <color theme="1"/>
        <rFont val="맑은 고딕"/>
        <family val="2"/>
        <charset val="129"/>
        <scheme val="minor"/>
      </rPr>
      <t>제외기업 상호</t>
    </r>
    <phoneticPr fontId="0" type="noConversion"/>
  </si>
  <si>
    <r>
      <rPr>
        <sz val="11"/>
        <color theme="1"/>
        <rFont val="맑은 고딕"/>
        <family val="2"/>
        <charset val="129"/>
        <scheme val="minor"/>
      </rPr>
      <t>1.3.2.2.3</t>
    </r>
    <phoneticPr fontId="0" type="noConversion"/>
  </si>
  <si>
    <t>GIR1001: Governmental Entity
GIR1002: International Organisation
GIR1003: Non-profit Organisation
GIR1004: Pension Fund
GIR1005: Investment Fund that is an UPE
GIR1006: Real Estate Investment Vehicle that is an UPE
GIR1007: Entity owned by Excluded Entities under Article 1.5.2(a)
GIR1008: Entity owned by Excluded Entities under Article 1.5.2(b)</t>
  </si>
  <si>
    <r>
      <rPr>
        <sz val="11"/>
        <color theme="1"/>
        <rFont val="맑은 고딕"/>
        <family val="2"/>
        <charset val="129"/>
        <scheme val="minor"/>
      </rPr>
      <t>그룹구조 변동</t>
    </r>
    <phoneticPr fontId="0" type="noConversion"/>
  </si>
  <si>
    <r>
      <rPr>
        <sz val="11"/>
        <color theme="1"/>
        <rFont val="맑은 고딕"/>
        <family val="2"/>
        <charset val="129"/>
        <scheme val="minor"/>
      </rPr>
      <t>1.3.3.1</t>
    </r>
    <phoneticPr fontId="0" type="noConversion"/>
  </si>
  <si>
    <r>
      <rPr>
        <sz val="11"/>
        <color theme="1"/>
        <rFont val="맑은 고딕"/>
        <family val="2"/>
        <charset val="129"/>
        <scheme val="minor"/>
      </rPr>
      <t>구성기업 (또는 다국적기업그룹의 다른 기업) 또는 공동기업그룹기업의 상호</t>
    </r>
    <phoneticPr fontId="0" type="noConversion"/>
  </si>
  <si>
    <t>영문명을 기재합니다. 국문명도 기재하고자 하는 경우 영문명, 국문명을 세미콜론(;)을 기준으로 구분하여 기재합니다.</t>
  </si>
  <si>
    <r>
      <rPr>
        <sz val="11"/>
        <color theme="1"/>
        <rFont val="맑은 고딕"/>
        <family val="2"/>
        <charset val="129"/>
        <scheme val="minor"/>
      </rPr>
      <t>1.3.3.2</t>
    </r>
    <phoneticPr fontId="0" type="noConversion"/>
  </si>
  <si>
    <r>
      <rPr>
        <sz val="11"/>
        <color theme="1"/>
        <rFont val="맑은 고딕"/>
        <family val="2"/>
        <charset val="129"/>
        <scheme val="minor"/>
      </rPr>
      <t>1.3.3.4</t>
    </r>
    <phoneticPr fontId="0" type="noConversion"/>
  </si>
  <si>
    <r>
      <rPr>
        <sz val="11"/>
        <color theme="1"/>
        <rFont val="맑은 고딕"/>
        <family val="2"/>
        <charset val="129"/>
        <scheme val="minor"/>
      </rPr>
      <t>변동 전 글로벌최저한세목적상 기업 유형</t>
    </r>
    <phoneticPr fontId="0" type="noConversion"/>
  </si>
  <si>
    <r>
      <rPr>
        <sz val="11"/>
        <color theme="1"/>
        <rFont val="맑은 고딕"/>
        <family val="2"/>
        <charset val="129"/>
        <scheme val="minor"/>
      </rPr>
      <t>1.3.3.9</t>
    </r>
    <phoneticPr fontId="0" type="noConversion"/>
  </si>
  <si>
    <r>
      <rPr>
        <sz val="11"/>
        <color theme="1"/>
        <rFont val="맑은 고딕"/>
        <family val="2"/>
        <charset val="129"/>
        <scheme val="minor"/>
      </rPr>
      <t>주주기업 유형</t>
    </r>
    <phoneticPr fontId="0" type="noConversion"/>
  </si>
  <si>
    <r>
      <rPr>
        <sz val="11"/>
        <color theme="1"/>
        <rFont val="맑은 고딕"/>
        <family val="2"/>
        <charset val="129"/>
        <scheme val="minor"/>
      </rPr>
      <t>서식에는 없으나 XML에 존재하는 내용입니다.
GIR801: UPE
GIR802: Constituent Entities
GIR803: JVs
GIR804: JV Subsidiaries
GIR805: Excluded Entities (aggregate)
GIR806: Non-Group members (aggregate)</t>
    </r>
    <phoneticPr fontId="0" type="noConversion"/>
  </si>
  <si>
    <r>
      <rPr>
        <sz val="11"/>
        <color theme="1"/>
        <rFont val="맑은 고딕"/>
        <family val="2"/>
        <charset val="129"/>
        <scheme val="minor"/>
      </rPr>
      <t>요약</t>
    </r>
    <phoneticPr fontId="0" type="noConversion"/>
  </si>
  <si>
    <r>
      <rPr>
        <sz val="11"/>
        <color theme="1"/>
        <rFont val="맑은 고딕"/>
        <family val="2"/>
        <charset val="129"/>
        <scheme val="minor"/>
      </rPr>
      <t>1.4.1</t>
    </r>
    <phoneticPr fontId="0" type="noConversion"/>
  </si>
  <si>
    <r>
      <rPr>
        <sz val="11"/>
        <color theme="1"/>
        <rFont val="맑은 고딕"/>
        <family val="2"/>
        <charset val="129"/>
        <scheme val="minor"/>
      </rPr>
      <t>1.4.2</t>
    </r>
    <phoneticPr fontId="0" type="noConversion"/>
  </si>
  <si>
    <r>
      <rPr>
        <sz val="11"/>
        <color theme="1"/>
        <rFont val="맑은 고딕"/>
        <family val="2"/>
        <charset val="129"/>
        <scheme val="minor"/>
      </rPr>
      <t>하위그룹 유형</t>
    </r>
    <phoneticPr fontId="0" type="noConversion"/>
  </si>
  <si>
    <r>
      <rPr>
        <sz val="11"/>
        <color theme="1"/>
        <rFont val="맑은 고딕"/>
        <family val="2"/>
        <charset val="129"/>
        <scheme val="minor"/>
      </rPr>
      <t>1.4.3</t>
    </r>
    <phoneticPr fontId="0" type="noConversion"/>
  </si>
  <si>
    <r>
      <rPr>
        <sz val="11"/>
        <color theme="1"/>
        <rFont val="맑은 고딕"/>
        <family val="2"/>
        <charset val="129"/>
        <scheme val="minor"/>
      </rPr>
      <t>하위그룹 최상위기업 납세자번호</t>
    </r>
    <phoneticPr fontId="0" type="noConversion"/>
  </si>
  <si>
    <r>
      <rPr>
        <sz val="11"/>
        <color theme="1"/>
        <rFont val="맑은 고딕"/>
        <family val="2"/>
        <charset val="129"/>
        <scheme val="minor"/>
      </rPr>
      <t>1.4.4</t>
    </r>
    <phoneticPr fontId="0" type="noConversion"/>
  </si>
  <si>
    <r>
      <rPr>
        <sz val="11"/>
        <color theme="1"/>
        <rFont val="맑은 고딕"/>
        <family val="2"/>
        <charset val="129"/>
        <scheme val="minor"/>
      </rPr>
      <t>글로벌최저한세 과세권이 있는 국가명</t>
    </r>
    <phoneticPr fontId="0" type="noConversion"/>
  </si>
  <si>
    <r>
      <rPr>
        <sz val="11"/>
        <color theme="1"/>
        <rFont val="맑은 고딕"/>
        <family val="2"/>
        <charset val="129"/>
        <scheme val="minor"/>
      </rPr>
      <t>국가코드: ISO3166-alpha2</t>
    </r>
    <phoneticPr fontId="0" type="noConversion"/>
  </si>
  <si>
    <r>
      <rPr>
        <sz val="11"/>
        <color theme="1"/>
        <rFont val="맑은 고딕"/>
        <family val="2"/>
        <charset val="129"/>
        <scheme val="minor"/>
      </rPr>
      <t>1.4.5</t>
    </r>
    <phoneticPr fontId="0" type="noConversion"/>
  </si>
  <si>
    <r>
      <rPr>
        <sz val="11"/>
        <color theme="1"/>
        <rFont val="맑은 고딕"/>
        <family val="2"/>
        <charset val="129"/>
        <scheme val="minor"/>
      </rPr>
      <t>적용면제 또는 제외 사유</t>
    </r>
    <phoneticPr fontId="0" type="noConversion"/>
  </si>
  <si>
    <t>GIR1201: De minimis Exclusion
GIR1202: QDMTT safe harbour
GIR1203: Transitional CbCR Safe Harbour - De minimis test
GIR1204: Transitional CbCR Safe Harbour - ETR test
GIR1205: Transitional CbCR Safe Harbour - Routine profit test
GIR1206: Transitional UTPR Safe Harbour
GIR1207: Permanent Safe Harbour - De minimis test
GIR1208: Permanent Safe Harbour - ETR test
GIR1209: Permanent Safe Harbour - Routine profit test</t>
  </si>
  <si>
    <r>
      <rPr>
        <sz val="11"/>
        <color theme="1"/>
        <rFont val="맑은 고딕"/>
        <family val="2"/>
        <charset val="129"/>
        <scheme val="minor"/>
      </rPr>
      <t>1.4.6</t>
    </r>
    <phoneticPr fontId="0" type="noConversion"/>
  </si>
  <si>
    <r>
      <rPr>
        <sz val="11"/>
        <color theme="1"/>
        <rFont val="맑은 고딕"/>
        <family val="2"/>
        <charset val="129"/>
        <scheme val="minor"/>
      </rPr>
      <t>실효세율 범위</t>
    </r>
    <phoneticPr fontId="0" type="noConversion"/>
  </si>
  <si>
    <t>GIR1301: below 2.5%
GIR1302: 2.5% or above but below 5%
GIR1303: 5% or above but below 7.5%
GIR1304: 7.5% or above but below 10%
GIR1305: 10% or above but below 12.5%
GIR1306: 12.5% or above but below 15%
GIR1307: 15% or above but below 17.5%
GIR1308: 17.5% or above but below 20%
GIR1309: 20% or above but below 22.5%
GIR1310: 22.5% or above but below 25%
GIR1311: 25% or above but below 27.5%
GIR1312: 27.5% or above but below 30%
GIR1313: 30% or above
GIR1314: Section 3.2 not completed</t>
  </si>
  <si>
    <r>
      <rPr>
        <sz val="11"/>
        <color theme="1"/>
        <rFont val="맑은 고딕"/>
        <family val="2"/>
        <charset val="129"/>
        <scheme val="minor"/>
      </rPr>
      <t>1.4.8</t>
    </r>
    <phoneticPr fontId="0" type="noConversion"/>
  </si>
  <si>
    <r>
      <rPr>
        <sz val="11"/>
        <color theme="1"/>
        <rFont val="맑은 고딕"/>
        <family val="2"/>
        <charset val="129"/>
        <scheme val="minor"/>
      </rPr>
      <t>추가세액 (적격소재국추가세) 범위</t>
    </r>
    <phoneticPr fontId="0" type="noConversion"/>
  </si>
  <si>
    <t>GIR1401: No Top-up Tax payable
GIR1402: below EUR 1 million
GIR1403: EUR 1 million to below EUR 5 million
GIR1404: EUR 5 million to below EUR 25 million
GIR1405: EUR 25 million to below EUR 50 million
GIR1406: EUR 50 million to below EUR 75 million
GIR1407: EUR 75 million to below EUR 100 million
GIR1408: EUR 100 million to below EUR 250 million
GIR1409: EUR 250 million or above</t>
  </si>
  <si>
    <r>
      <rPr>
        <sz val="11"/>
        <color theme="1"/>
        <rFont val="맑은 고딕"/>
        <family val="2"/>
        <charset val="129"/>
        <scheme val="minor"/>
      </rPr>
      <t>1.4.9</t>
    </r>
    <phoneticPr fontId="0" type="noConversion"/>
  </si>
  <si>
    <r>
      <rPr>
        <sz val="11"/>
        <color theme="1"/>
        <rFont val="맑은 고딕"/>
        <family val="2"/>
        <charset val="129"/>
        <scheme val="minor"/>
      </rPr>
      <t>추가세액(글로벌최저한세) 범위</t>
    </r>
    <phoneticPr fontId="0" type="noConversion"/>
  </si>
  <si>
    <t>GIR1501: No Top-up Tax payable
GIR1502: below EUR 1 million
GIR1503: EUR 1 million to below EUR 5 million
GIR1504: EUR 5 million to below EUR 25 million
GIR1505: EUR 25 million to below EUR 50 million
GIR1506: EUR 50 million to below EUR 75 million
GIR1507: EUR 75 million to below EUR 100 million
GIR1508: EUR 100 million to below EUR 250 million
GIR1509: EUR 250 million or above</t>
  </si>
  <si>
    <r>
      <rPr>
        <sz val="11"/>
        <color theme="1"/>
        <rFont val="맑은 고딕"/>
        <family val="2"/>
        <charset val="129"/>
        <scheme val="minor"/>
      </rPr>
      <t>적용면제</t>
    </r>
    <phoneticPr fontId="0" type="noConversion"/>
  </si>
  <si>
    <r>
      <rPr>
        <sz val="11"/>
        <color theme="1"/>
        <rFont val="맑은 고딕"/>
        <family val="2"/>
        <charset val="129"/>
        <scheme val="minor"/>
      </rPr>
      <t>2.1.1</t>
    </r>
    <phoneticPr fontId="0" type="noConversion"/>
  </si>
  <si>
    <r>
      <rPr>
        <sz val="11"/>
        <color theme="1"/>
        <rFont val="맑은 고딕"/>
        <family val="2"/>
        <charset val="129"/>
        <scheme val="minor"/>
      </rPr>
      <t>소재지국(국가명)</t>
    </r>
    <phoneticPr fontId="0" type="noConversion"/>
  </si>
  <si>
    <r>
      <rPr>
        <sz val="11"/>
        <color theme="1"/>
        <rFont val="맑은 고딕"/>
        <family val="2"/>
        <charset val="129"/>
        <scheme val="minor"/>
      </rPr>
      <t>2.1.2</t>
    </r>
    <phoneticPr fontId="0" type="noConversion"/>
  </si>
  <si>
    <r>
      <rPr>
        <sz val="11"/>
        <color theme="1"/>
        <rFont val="맑은 고딕"/>
        <family val="2"/>
        <charset val="129"/>
        <scheme val="minor"/>
      </rPr>
      <t>2.1.3</t>
    </r>
    <phoneticPr fontId="0" type="noConversion"/>
  </si>
  <si>
    <r>
      <rPr>
        <sz val="11"/>
        <color theme="1"/>
        <rFont val="맑은 고딕"/>
        <family val="2"/>
        <charset val="129"/>
        <scheme val="minor"/>
      </rPr>
      <t>2.1.4</t>
    </r>
    <phoneticPr fontId="0" type="noConversion"/>
  </si>
  <si>
    <r>
      <rPr>
        <sz val="11"/>
        <color theme="1"/>
        <rFont val="맑은 고딕"/>
        <family val="2"/>
        <charset val="129"/>
        <scheme val="minor"/>
      </rPr>
      <t>과세권이 있는 국가</t>
    </r>
    <phoneticPr fontId="0" type="noConversion"/>
  </si>
  <si>
    <r>
      <rPr>
        <sz val="11"/>
        <color theme="1"/>
        <rFont val="맑은 고딕"/>
        <family val="2"/>
        <charset val="129"/>
        <scheme val="minor"/>
      </rPr>
      <t>국가코드, 하위그룹 유형, 하위그룹 최상위기업 납세자번호, 하위그룹 최상위기업 납세자번호 유형, 하위그룹 최상위기업 납세자번호 발급국가코드를 컴마로 구분하여 기재
국가코드: ISO3166-alpha2
납세자번호 유형
GIR3001: Tax Identification Number
GIR3002: Functionally equivalent number
GIR3003: Agreed GIR designated number
GIR3004: Not required to be reported
하위그룹 유형
GIR1101: Constituent Entities
GIR1102: Minority-Owned Subgroup
GIR1103: Standalone MOCEs
GIR1104: Investment Entities
GIR1105: JV Group
GIR1106: Stateless Constituent Entity</t>
    </r>
    <phoneticPr fontId="0" type="noConversion"/>
  </si>
  <si>
    <r>
      <rPr>
        <sz val="11"/>
        <color theme="1"/>
        <rFont val="맑은 고딕"/>
        <family val="2"/>
        <charset val="129"/>
        <scheme val="minor"/>
      </rPr>
      <t>가능(세미콜론으로 구분)</t>
    </r>
    <phoneticPr fontId="0" type="noConversion"/>
  </si>
  <si>
    <r>
      <rPr>
        <sz val="11"/>
        <color theme="1"/>
        <rFont val="맑은 고딕"/>
        <family val="2"/>
        <charset val="129"/>
        <scheme val="minor"/>
      </rPr>
      <t>2.3.2</t>
    </r>
    <phoneticPr fontId="0" type="noConversion"/>
  </si>
  <si>
    <r>
      <rPr>
        <sz val="11"/>
        <color theme="1"/>
        <rFont val="맑은 고딕"/>
        <family val="2"/>
        <charset val="129"/>
        <scheme val="minor"/>
      </rPr>
      <t>준거국가</t>
    </r>
    <phoneticPr fontId="0" type="noConversion"/>
  </si>
  <si>
    <t>2.3.5</t>
    <phoneticPr fontId="0" type="noConversion"/>
  </si>
  <si>
    <t>다국적기업그룹의 최초적용연도에 준거국가 외 국가에 소재하는 구성기업의 유형자산</t>
    <phoneticPr fontId="0" type="noConversion"/>
  </si>
  <si>
    <t>소재지국과 유형자산의 순장부가액을 컴마로 연결하여 기재
국가코드: ISO3166-alpha2</t>
    <phoneticPr fontId="0" type="noConversion"/>
  </si>
  <si>
    <r>
      <rPr>
        <sz val="11"/>
        <color theme="1"/>
        <rFont val="맑은 고딕"/>
        <family val="2"/>
        <charset val="129"/>
        <scheme val="minor"/>
      </rPr>
      <t>UTPR 배분</t>
    </r>
    <phoneticPr fontId="0" type="noConversion"/>
  </si>
  <si>
    <r>
      <rPr>
        <sz val="11"/>
        <color theme="1"/>
        <rFont val="맑은 고딕"/>
        <family val="2"/>
        <charset val="129"/>
        <scheme val="minor"/>
      </rPr>
      <t>3.4.3.1</t>
    </r>
    <phoneticPr fontId="0" type="noConversion"/>
  </si>
  <si>
    <r>
      <rPr>
        <sz val="11"/>
        <color theme="1"/>
        <rFont val="맑은 고딕"/>
        <family val="2"/>
        <charset val="129"/>
        <scheme val="minor"/>
      </rPr>
      <t>소득산입보완규칙 시행국가</t>
    </r>
    <phoneticPr fontId="0" type="noConversion"/>
  </si>
  <si>
    <r>
      <rPr>
        <sz val="11"/>
        <color theme="1"/>
        <rFont val="맑은 고딕"/>
        <family val="2"/>
        <charset val="129"/>
        <scheme val="minor"/>
      </rPr>
      <t>국가별 계산</t>
    </r>
    <phoneticPr fontId="0" type="noConversion"/>
  </si>
  <si>
    <r>
      <rPr>
        <sz val="11"/>
        <color theme="1"/>
        <rFont val="맑은 고딕"/>
        <family val="2"/>
        <charset val="129"/>
        <scheme val="minor"/>
      </rPr>
      <t>3.1.1</t>
    </r>
    <phoneticPr fontId="0" type="noConversion"/>
  </si>
  <si>
    <r>
      <rPr>
        <sz val="11"/>
        <color theme="1"/>
        <rFont val="맑은 고딕"/>
        <family val="2"/>
        <charset val="129"/>
        <scheme val="minor"/>
      </rPr>
      <t>국가명</t>
    </r>
    <phoneticPr fontId="0" type="noConversion"/>
  </si>
  <si>
    <r>
      <rPr>
        <sz val="11"/>
        <color theme="1"/>
        <rFont val="맑은 고딕"/>
        <family val="2"/>
        <charset val="129"/>
        <scheme val="minor"/>
      </rPr>
      <t>3.1.2</t>
    </r>
    <phoneticPr fontId="0" type="noConversion"/>
  </si>
  <si>
    <t>GIR1601: Constituent Entities
GIR1602: Minority-Owned Subgroup
GIR1603: Standalone MOCEs
GIR1604: Investment Entities
GIR1605: JV Group
GIR1606: Stateless Constituent Entity
GIR1607: Transitional CbCR Safe Harbour - Constituent Entities
GIR1608: Transitional CbCR Safe Harbour - JV Group
GIR1609: Transitional UTPR Safe Harbour</t>
  </si>
  <si>
    <r>
      <rPr>
        <sz val="11"/>
        <color theme="1"/>
        <rFont val="맑은 고딕"/>
        <family val="2"/>
        <charset val="129"/>
        <scheme val="minor"/>
      </rPr>
      <t>3.1.3</t>
    </r>
    <phoneticPr fontId="0" type="noConversion"/>
  </si>
  <si>
    <r>
      <rPr>
        <sz val="11"/>
        <color theme="1"/>
        <rFont val="맑은 고딕"/>
        <family val="2"/>
        <charset val="129"/>
        <scheme val="minor"/>
      </rPr>
      <t>하위그룹의 최상위기업 납세자번호</t>
    </r>
    <phoneticPr fontId="0" type="noConversion"/>
  </si>
  <si>
    <t>추가세액 계산</t>
    <phoneticPr fontId="2" type="noConversion"/>
  </si>
  <si>
    <t>3.3.3.1</t>
    <phoneticPr fontId="2" type="noConversion"/>
  </si>
  <si>
    <t>관련 근거</t>
    <phoneticPr fontId="2" type="noConversion"/>
  </si>
  <si>
    <t>GIR2601: Article 3.2.6
GIR2602: Article 4.4.4
GIR2603: Article 4.6.1
GIR2604: Article 4.6.4
GIR2605: Article 7.3.5
GIR2606: Article 7.3.7</t>
  </si>
  <si>
    <t>3.3.4.6</t>
    <phoneticPr fontId="2" type="noConversion"/>
  </si>
  <si>
    <t>통화</t>
    <phoneticPr fontId="2" type="noConversion"/>
  </si>
  <si>
    <r>
      <rPr>
        <sz val="11"/>
        <color theme="1"/>
        <rFont val="맑은 고딕"/>
        <family val="2"/>
        <charset val="129"/>
        <scheme val="minor"/>
      </rPr>
      <t>구성기업 계산</t>
    </r>
    <phoneticPr fontId="0" type="noConversion"/>
  </si>
  <si>
    <r>
      <rPr>
        <sz val="11"/>
        <color theme="1"/>
        <rFont val="맑은 고딕"/>
        <family val="2"/>
        <charset val="129"/>
        <scheme val="minor"/>
      </rPr>
      <t>3.2.4(b)1</t>
    </r>
    <phoneticPr fontId="0" type="noConversion"/>
  </si>
  <si>
    <r>
      <rPr>
        <sz val="11"/>
        <color theme="1"/>
        <rFont val="맑은 고딕"/>
        <family val="2"/>
        <charset val="129"/>
        <scheme val="minor"/>
      </rPr>
      <t>연결납세그룹</t>
    </r>
    <phoneticPr fontId="0" type="noConversion"/>
  </si>
  <si>
    <r>
      <rPr>
        <sz val="11"/>
        <color theme="1"/>
        <rFont val="맑은 고딕"/>
        <family val="2"/>
        <charset val="129"/>
        <scheme val="minor"/>
      </rPr>
      <t>3.2.4(b)2</t>
    </r>
    <phoneticPr fontId="0" type="noConversion"/>
  </si>
  <si>
    <r>
      <rPr>
        <sz val="11"/>
        <color theme="1"/>
        <rFont val="맑은 고딕"/>
        <family val="2"/>
        <charset val="129"/>
        <scheme val="minor"/>
      </rPr>
      <t>해당 연결납세그룹에 포함된 기업</t>
    </r>
    <phoneticPr fontId="0" type="noConversion"/>
  </si>
  <si>
    <t>3.2.4.1(b)1</t>
    <phoneticPr fontId="2" type="noConversion"/>
  </si>
  <si>
    <t>해당 국가에 소재하는 구성기업 또는 공동기업그룹 기업 또는 무국적구성기업</t>
    <phoneticPr fontId="2" type="noConversion"/>
  </si>
  <si>
    <t>3.2.4.1(b)3</t>
    <phoneticPr fontId="2" type="noConversion"/>
  </si>
  <si>
    <t>조정 근거</t>
    <phoneticPr fontId="2" type="noConversion"/>
  </si>
  <si>
    <t>GIR1701: Article 3.4
GIR1702: Article 3.5.3
GIR1703: Article 3.5.1(a)
GIR1704: Article 3.5.1(b)</t>
  </si>
  <si>
    <t>3.2.4.1(b)4</t>
    <phoneticPr fontId="2" type="noConversion"/>
  </si>
  <si>
    <t>상대구성기업 또는 공동기업그룹 기업</t>
    <phoneticPr fontId="2" type="noConversion"/>
  </si>
  <si>
    <t>3.2.4.1(b)5</t>
    <phoneticPr fontId="2" type="noConversion"/>
  </si>
  <si>
    <t>상대구성기업 또는 공동기업그룹 기업의 소재지국</t>
    <phoneticPr fontId="2" type="noConversion"/>
  </si>
  <si>
    <t>3.2.4.1(c)1</t>
    <phoneticPr fontId="2" type="noConversion"/>
  </si>
  <si>
    <t>해당 국가에 소재하는 구성기업 또는 공동기업그룹 기업</t>
    <phoneticPr fontId="2" type="noConversion"/>
  </si>
  <si>
    <t>3.2.4.1(c)2</t>
    <phoneticPr fontId="2" type="noConversion"/>
  </si>
  <si>
    <t>GIR1801: Article 3.2.3
GIR1802: Article 3.2.7</t>
  </si>
  <si>
    <t>3.2.4.1(c)3</t>
    <phoneticPr fontId="2" type="noConversion"/>
  </si>
  <si>
    <t>3.2.4.1(c)4</t>
    <phoneticPr fontId="2" type="noConversion"/>
  </si>
  <si>
    <t>3.2.4.1(d)1</t>
    <phoneticPr fontId="2" type="noConversion"/>
  </si>
  <si>
    <t>3.2.4.1(d)2</t>
    <phoneticPr fontId="2" type="noConversion"/>
  </si>
  <si>
    <t>감액 근거</t>
    <phoneticPr fontId="2" type="noConversion"/>
  </si>
  <si>
    <t>GIR1901: Article 7.1.1 (a)(i)
GIR1902: Article 7.1.1 (a)(ii)
GIR1903: Article 7.1.1 (b)
GIR1904: Article 7.1.1 (c)
GIR1905: Article 7.2.1 (a)(i)
GIR1906: Article 7.2.1 (a)(ii)
GIR1907: Article 7.2.1 (a)(iii)
GIR1908: Article 7.2.1 (b)
GIR1909: Article 7.2.1 (c)
GIR1910: Article 7.2.2
GIR1999: Article 7.1.2</t>
  </si>
  <si>
    <t>3.2.4.1(d)3</t>
    <phoneticPr fontId="2" type="noConversion"/>
  </si>
  <si>
    <t>소유지분보유자 또는 배당수취자 정보</t>
    <phoneticPr fontId="2" type="noConversion"/>
  </si>
  <si>
    <t>개인:  "개인",주주수,거주지국[,세율]
법인:  "법인",납세자번호값,유형,발급국가[,세율[,ExTypeOfEntity코드]]
"" 안에 있는 개인 또는 법인은 그대로 기재하라는 뜻이며
[] 안에 있는 세율과 ExTypeOfEntity코드는 선택사항이라는 뜻입니다.
만약 법인의 경우 세율은 skip하고 ExTypeOfEntity코드는 입력하려면 ..,발급국가,,ExTypeOfEntity코드와 같은 방식으로 입력하면 됩니다.
ExTypeOfEntity코드
GIR2801: Governmental Entity
GIR2802: International Organisation
GIR2803: Non-profit Organisation
GIR2804: Pension Fund
GIR2805: Pension Fund that is not a Pension Services Entity</t>
    <phoneticPr fontId="2" type="noConversion"/>
  </si>
  <si>
    <t>3.2.4.2(b)1</t>
    <phoneticPr fontId="2" type="noConversion"/>
  </si>
  <si>
    <t>구성기업, 공동기업그룹 기업(또는 무국적구성기업) 납세자번호</t>
    <phoneticPr fontId="2" type="noConversion"/>
  </si>
  <si>
    <t>3.2.4.2(b)2</t>
    <phoneticPr fontId="2" type="noConversion"/>
  </si>
  <si>
    <t>GIR2301: Article 4.3.2 (a)
GIR2302: Article 4.3.2 (b)
GIR2303: Article 4.3.2 (c)
GIR2304: Article 4.3.2 (d)
GIR2305: Article 4.3.2 (e)
GIR2306: Article 4.3.3 (a)
GIR2307: Article 4.3.3 (b)
GIR2308: Article 4.3.4
GIR2309: Article 4.3.2(c) - Blended CFC regime</t>
  </si>
  <si>
    <t>3.2.4.2(b)3</t>
    <phoneticPr fontId="2" type="noConversion"/>
  </si>
  <si>
    <t>상대 구성기업(또는 공동기업그룹 기업) 납세자번호</t>
    <phoneticPr fontId="2" type="noConversion"/>
  </si>
  <si>
    <t>3.2.4.2(b)4</t>
    <phoneticPr fontId="2" type="noConversion"/>
  </si>
  <si>
    <t>상대 구성기업(또는 공동기업그룹 기업) 소재지국</t>
    <phoneticPr fontId="2" type="noConversion"/>
  </si>
  <si>
    <t>3.2.4.3.1</t>
    <phoneticPr fontId="2" type="noConversion"/>
  </si>
  <si>
    <t>선택적용 대상 구성기업 납세자번호</t>
    <phoneticPr fontId="2" type="noConversion"/>
  </si>
  <si>
    <t>3.2.4.3.6k1</t>
    <phoneticPr fontId="2" type="noConversion"/>
  </si>
  <si>
    <t>3.2.4.4(a)1</t>
    <phoneticPr fontId="2" type="noConversion"/>
  </si>
  <si>
    <t>본 소재지국 구성기업 납세자번호</t>
    <phoneticPr fontId="2" type="noConversion"/>
  </si>
  <si>
    <t>3.2.4.4(a)2</t>
    <phoneticPr fontId="2" type="noConversion"/>
  </si>
  <si>
    <t>유형</t>
    <phoneticPr fontId="2" type="noConversion"/>
  </si>
  <si>
    <t>GIR2101: Article 3.3.2.a
GIR2102: Article 3.3.2.b
GIR2103: Article 3.3.2.c
GIR2104: Article 3.3.2.d
GIR2105: Article 3.3.2.e
GIR2106: Article 3.3.2.f</t>
  </si>
  <si>
    <t>가능(컴마로 구분)</t>
    <phoneticPr fontId="2" type="noConversion"/>
  </si>
  <si>
    <t>3.2.4.4(a)6</t>
    <phoneticPr fontId="2" type="noConversion"/>
  </si>
  <si>
    <t>GIR2201: Article 3.3.3.a
GIR2202: Article 3.3.3.b
GIR2203: Article 3.3.3.c
GIR2204: Article 3.3.3.d
GIR2205: Article 3.3.3.e</t>
  </si>
  <si>
    <t>3.2.4.5.1</t>
    <phoneticPr fontId="2" type="noConversion"/>
  </si>
  <si>
    <t>선택대상인 주주구성기업 (또는 주주인 공동기업그룹 기업)</t>
    <phoneticPr fontId="2" type="noConversion"/>
  </si>
  <si>
    <t>3.2.4.5.2</t>
    <phoneticPr fontId="2" type="noConversion"/>
  </si>
  <si>
    <t>선택대상 투자기업</t>
    <phoneticPr fontId="2" type="noConversion"/>
  </si>
  <si>
    <t>3.2.4.6.1</t>
    <phoneticPr fontId="2" type="noConversion"/>
  </si>
  <si>
    <t>최종모기업의 연결재무제표 작성 회계기준 외의 회계기준에 따라 계산된 회계상 순손익을 사용하는 구성기업(또는 공동기업그룹 기업)의 납세자번호</t>
    <phoneticPr fontId="2" type="noConversion"/>
  </si>
  <si>
    <t>추가세액</t>
    <phoneticPr fontId="2" type="noConversion"/>
  </si>
  <si>
    <t>3.4.1.1a</t>
    <phoneticPr fontId="2" type="noConversion"/>
  </si>
  <si>
    <t>저율과세구성기업 또는 저율과세 공동기업그룹 기업의 납세자번호</t>
    <phoneticPr fontId="2" type="noConversion"/>
  </si>
  <si>
    <t>3.4.1.2~3.4.1.3</t>
    <phoneticPr fontId="2" type="noConversion"/>
  </si>
  <si>
    <t>적격소득산입규칙을
   적용해야 하는 모기업 ~ 소득산입규칙
   추가세액</t>
    <phoneticPr fontId="2" type="noConversion"/>
  </si>
  <si>
    <t>모기업 납세자번호, 납세자번호 유형, 발급국가, 모기업 소재지국, 모기업 외의 다른 소유지분 보유자에게 귀속되는 글로벌최저한세소득, 모기업의 소득산입비율, 모기업의 추가세액배분액, 모기업의 추가세액배분액의 차감액, 모기업이 납부할 추가세액 합계를 콤마로 연결</t>
    <phoneticPr fontId="2" type="noConversion"/>
  </si>
  <si>
    <t>가능(세미콜론으로 구분)</t>
    <phoneticPr fontId="2" type="noConversion"/>
  </si>
  <si>
    <t>3.4.1.2a</t>
    <phoneticPr fontId="2" type="noConversion"/>
  </si>
  <si>
    <t>모기업</t>
    <phoneticPr fontId="2" type="noConversion"/>
  </si>
  <si>
    <t>3.4.1.2b</t>
    <phoneticPr fontId="2" type="noConversion"/>
  </si>
  <si>
    <t>모기업 소재지국</t>
    <phoneticPr fontId="2" type="noConversion"/>
  </si>
  <si>
    <t>3.4.2.1</t>
    <phoneticPr fontId="2" type="noConversion"/>
  </si>
  <si>
    <t>「국제조세조정에 관한 법률」 제73조제3항제1호에 해당하지 않는 저율과세구성기업 또는 저율과세 공동기업그룹 기업의 납세자번호</t>
    <phoneticPr fontId="2" type="noConversion"/>
  </si>
  <si>
    <t>W</t>
    <phoneticPr fontId="2" type="noConversion"/>
  </si>
  <si>
    <t>국제조세조정에 관한 법률 시행규칙 [별지 제53호서식 부표 2] (2026. 3. 20. 개정)</t>
  </si>
  <si>
    <t>링크</t>
    <phoneticPr fontId="2" type="noConversion"/>
  </si>
  <si>
    <t>1. 다국적기업그룹 정보</t>
  </si>
  <si>
    <t>MNE그룹 정보</t>
  </si>
  <si>
    <t>1.1 신고구성기업 정보</t>
  </si>
  <si>
    <t>1.2 다국적기업그룹 일반정보</t>
  </si>
  <si>
    <t>1.2.1 다국적기업그룹과 신고대상 사업연도</t>
  </si>
  <si>
    <t>1.2.2 다국적기업그룹 일반 회계정보</t>
  </si>
  <si>
    <t>1.3 기업구조</t>
  </si>
  <si>
    <t>1.3.1 최종모기업</t>
  </si>
  <si>
    <t>최종모기업</t>
  </si>
  <si>
    <t>1.3.2 그룹 기업(최종모기업 제외) 및 공동기업그룹 기업</t>
  </si>
  <si>
    <t>그룹구조</t>
  </si>
  <si>
    <t>1.3.2.1 구성기업 및 공동기업그룹 기업</t>
  </si>
  <si>
    <t>1.3.2.2 제외기업</t>
  </si>
  <si>
    <t>제외기업</t>
  </si>
  <si>
    <t xml:space="preserve">1.3.3 신고대상 사업연도 중 기업구조 변동	</t>
  </si>
  <si>
    <t>그룹구조 변동</t>
  </si>
  <si>
    <t>1.4 글로벌최저한세 정보 요약</t>
  </si>
  <si>
    <t>요약</t>
  </si>
  <si>
    <t>2. 국가별 적용면제 및 제외</t>
  </si>
  <si>
    <t>적용면제</t>
  </si>
  <si>
    <t>국가별 적용면제 및 제외 - 국가별 기재
신고구성기업은 글로벌최저한세 계산의 적용면제 및 제외가 적용되는 각 국가별로 제4쪽 및 제5쪽을 작성합니다.</t>
  </si>
  <si>
    <t>2.1 국가별 기본사항</t>
  </si>
  <si>
    <t>2.2 해당 국가별 적용되는 적용면제 및 제외(추가세액=0)</t>
  </si>
  <si>
    <t>2.2.1 적용면제 국가 선택</t>
  </si>
  <si>
    <t>2.2.1.1 적용면제 선택</t>
  </si>
  <si>
    <t>2.2.1.2 일반적 적용면제</t>
  </si>
  <si>
    <t>2.2.1.3 전환기 적용면제</t>
  </si>
  <si>
    <t>2.2.2 최소적용제외 특례 선택</t>
  </si>
  <si>
    <t>2.3 해외진출 초기 다국적기업그룹에 대한 특례(해당되는 경우)</t>
  </si>
  <si>
    <t>3. 글로벌최저한세 계산</t>
  </si>
  <si>
    <t>국가별 계산</t>
  </si>
  <si>
    <t>3.1 국가별 글로벌최저한세 계산 기본사항</t>
  </si>
  <si>
    <t>3.2 실효세율 계산</t>
  </si>
  <si>
    <t>3.2.1 실효세율</t>
  </si>
  <si>
    <t>3.2.1.1 글로벌최저한세소득ㆍ결손 계산</t>
  </si>
  <si>
    <t>1.「국제조세조정에 관한 법률」 제66조제4항부터 제7항까지의 규정에 따른 배분 후 회계상 순손익 합계(국가별 소재한 모든 구성기업)</t>
  </si>
  <si>
    <t>2. 조정사항</t>
  </si>
  <si>
    <t>3. 해당 국가의 순글로벌최저한세소득</t>
  </si>
  <si>
    <t>3.2.1.2 조정대상조세 계산</t>
  </si>
  <si>
    <t>(a) 조정대상조세 합계</t>
  </si>
  <si>
    <t>1. 「국제조세조정에 관한 법률 시행령」 제111조에 따른 배분 후 당기법인세비용 합계</t>
  </si>
  <si>
    <t>3. 조정대상조세</t>
  </si>
  <si>
    <t>(b) 이월조정대상조세</t>
  </si>
  <si>
    <t>(c) 통합형피지배외국법인과세제도 관련 계산(해당되는 경우)</t>
  </si>
  <si>
    <t>3.2.2 국가별 이연법인세회계 관련 계산</t>
  </si>
  <si>
    <t>3.2.2.1 이연법인세 조정</t>
  </si>
  <si>
    <t>(a) 요약표</t>
  </si>
  <si>
    <t>(b) 조정내역</t>
  </si>
  <si>
    <t>1. 이연법인세비용의 조정</t>
  </si>
  <si>
    <t>2. 조정금액합계</t>
  </si>
  <si>
    <t>(c) 결손금 소급공제</t>
  </si>
  <si>
    <t>3.2.2.2 환입금액 계산</t>
  </si>
  <si>
    <t>(a) 이연법인세부채 환입 적용대상인 연간 이연법인세부채 금액</t>
  </si>
  <si>
    <t>(b) 총 이연법인세부채 환입 계정</t>
  </si>
  <si>
    <t>3.2.2.3 최초적용연도에 대한 특례</t>
  </si>
  <si>
    <t>(a)「국제조세조정에 관한 법률」 제81조 및 같은 법 시행령 제139조 적용</t>
  </si>
  <si>
    <t>(b) 「국제조세조정에 관한 법률 시행규칙」 제89조의 적용</t>
  </si>
  <si>
    <t>3.2.3 국가별 선택(해당되는 경우)</t>
  </si>
  <si>
    <t>3.2.3.1 국가별 선택(「국제조세조정에 관한 법률」 제78조에 따른 적격분배과세제도 특례 외)</t>
  </si>
  <si>
    <t>(a) 선택 내역</t>
  </si>
  <si>
    <t xml:space="preserve"> (b) 국가별 선택과 관련된 필요정보</t>
  </si>
  <si>
    <t>3.2.3.2 「국제조세조정에 관한 법률」 제78조에 따른 선택</t>
  </si>
  <si>
    <t>(a) 같은 법 시행령 제134조제2항, 같은 조 제4항부터 제8항까지 및 같은 법 시행규칙 제83조제1항에 따른 간주분배세액환입계정의 운용 방법 등</t>
  </si>
  <si>
    <t>(b) 간주분배세액 선택 구성기업의 이탈 등에 대한 「국제조세조정에 관한 법률 시행규칙」 제83조제2항부터 제4항까지의 적용</t>
  </si>
  <si>
    <t>3.2.4 구성기업(공동기업그룹 기업)별 계산</t>
  </si>
  <si>
    <t>구성기업 계산</t>
  </si>
  <si>
    <t>(a) 전환기 국가별 간소화 신고체계 선택</t>
  </si>
  <si>
    <t>(b) 연결납세그룹에 대한 통합신고</t>
  </si>
  <si>
    <t>3.2.4.1 글로벌최저한세소득ㆍ결손</t>
  </si>
  <si>
    <t>(a) 회계상 순손익에 대한 조정</t>
  </si>
  <si>
    <t>1. 구성기업 또는 공동기업그룹 기업의 납세자번호</t>
  </si>
  <si>
    <t>2. 「국제조세조정에 관한 법률」 제66조제4항부터 제7항까지 및 같은 법 시행령 제107조ㆍ제108조에 따른 배분 후 회계상 순손익</t>
  </si>
  <si>
    <t>3. 조정사항</t>
  </si>
  <si>
    <t>4. 구성기업 또는 공동기업그룹 기업의 글로벌최저한세소득ㆍ결손</t>
  </si>
  <si>
    <t>(b) 본점과 고정사업장간 손익의 국가간 배분 및 투과기업 손익의 국가간 배분 (「국제조세조정에 관한 법률」 제66조제4항부터 제7항까지 및 같은 법 시행령 제107조ㆍ제108조)</t>
  </si>
  <si>
    <t>(c) 국가간 손익 조정</t>
  </si>
  <si>
    <t>(d) 「국제조세조정에 관한 법률」 제77조의2에 따른 최종모기업의 글로벌최저한세소득 감액</t>
  </si>
  <si>
    <t xml:space="preserve">3.2.4.2 조정대상조세 </t>
  </si>
  <si>
    <t>(a) 회계상 당기법인세비용 조정</t>
  </si>
  <si>
    <t>2.「국제조세조정에 관한 법률 시행령」 제111조에 따른 배분 후 당기법인세비용</t>
  </si>
  <si>
    <t xml:space="preserve">3. 조정사항 </t>
  </si>
  <si>
    <t>4. 조정대상조세</t>
  </si>
  <si>
    <t>(b) 대상조세 국가간 배분</t>
  </si>
  <si>
    <t>(c) 이연법인세</t>
  </si>
  <si>
    <t>2. 이연법인세비용 금액(글로벌최저한세 기준)</t>
  </si>
  <si>
    <t>3. 이연법인세비용의 조정</t>
  </si>
  <si>
    <t>4. 최저한세율보다 낮은 세율로 계상된 이연법인세비용과 최저한세율로 재계산된 이연법인세비용의 차이 금액</t>
  </si>
  <si>
    <t>5. 최저한세율보다 높은 세율로 계상된 이연법인세비용과 최저한세율로 재계산된 이연법인세비용의 차이 금액</t>
  </si>
  <si>
    <t>6. 총이연법인세조정금액</t>
  </si>
  <si>
    <t>3.2.4.3 구성기업(또는 공동기업그룹 기업)별 선택</t>
  </si>
  <si>
    <t>3.2.4.4 국제해운소득ㆍ결손 제외</t>
  </si>
  <si>
    <t>(a) 국제해운소득ㆍ결손 제외</t>
  </si>
  <si>
    <t>(b) 적격국제해운부수소득ㆍ결손에 대한 국가별 한도</t>
  </si>
  <si>
    <t>3.2.4.5 과세분배방법 적용 선택 관련 정보(해당되는 경우)</t>
  </si>
  <si>
    <t>3.2.4.6. 그 밖의 회계기준</t>
  </si>
  <si>
    <t>3.3 추가세액 계산</t>
  </si>
  <si>
    <t>3.3.1 추가세액</t>
  </si>
  <si>
    <t>3.3.2 실질기반제외소득의 계산(해당되는 경우)</t>
  </si>
  <si>
    <t>3.3.2.1 실질기반제외소득 합계</t>
  </si>
  <si>
    <t>3.3.3 당기추가세액가산액</t>
  </si>
  <si>
    <t>3.3.3.1 「국제조세조정에 관한 법률 시행령」 제119조제2항 외의 당기추가세액가산액</t>
  </si>
  <si>
    <t>3.3.3.2 「국제조세조정에 관한 법률 시행령」 제119조제2항에 따른 당기추가세액가산액</t>
  </si>
  <si>
    <t>3.3.4 적격소재국추가세액</t>
  </si>
  <si>
    <t>3.4 추가세액 배분과 귀속</t>
  </si>
  <si>
    <t>3.4.1 해당 국가에 대한 소득산입규칙의 적용</t>
  </si>
  <si>
    <t>3.4.2 해당 소재지국에 대한 소득산입보완규칙 추가세액</t>
  </si>
  <si>
    <t>3.4.3 소득산입보완규칙 추가세액 배분</t>
  </si>
  <si>
    <t>기업명</t>
    <phoneticPr fontId="2" type="noConversion"/>
  </si>
  <si>
    <t>국가명</t>
    <phoneticPr fontId="2" type="noConversion"/>
  </si>
  <si>
    <t>하위그룹 유형</t>
    <phoneticPr fontId="2" type="noConversion"/>
  </si>
  <si>
    <t>하위그룹 최상위기업
납세자번호</t>
    <phoneticPr fontId="2" type="noConversion"/>
  </si>
  <si>
    <t>사 업 
연 도</t>
  </si>
  <si>
    <t>글로벌최저한세정보신고서</t>
  </si>
  <si>
    <t>법인명(상호)</t>
  </si>
  <si>
    <t>~</t>
  </si>
  <si>
    <t>사업자등록번호</t>
  </si>
  <si>
    <t>1. 최종모기업 여부</t>
  </si>
  <si>
    <t>2. 신고구성기업 상호</t>
  </si>
  <si>
    <t>3. 납세자번호</t>
  </si>
  <si>
    <t>4. 신고구성기업 지위</t>
  </si>
  <si>
    <t>5. 신고구성기업 소재지국</t>
  </si>
  <si>
    <t>6. 연례 자동정보 교환당사국
(해당되는 경우)</t>
  </si>
  <si>
    <t>1. 다국적기업그룹 명칭</t>
  </si>
  <si>
    <t>2. 신고대상 사업연도 개시일</t>
  </si>
  <si>
    <t>3. 신고대상 사업연도 종료일</t>
  </si>
  <si>
    <t>4. 수정신고서 여부</t>
  </si>
  <si>
    <t>부</t>
  </si>
  <si>
    <t>1. 최종모기업 연결재무제표(유형)</t>
  </si>
  <si>
    <t>2. 최종모기업 연결재무제표 회계기준</t>
  </si>
  <si>
    <t>3. 최종모기업 연결재무제표 통화(ISO 코드)</t>
  </si>
  <si>
    <t>1. 최종모기업 소재지국</t>
  </si>
  <si>
    <t>2. 적용가능규칙</t>
  </si>
  <si>
    <t>3. 최종모기업 상호</t>
  </si>
  <si>
    <t>4. 최종모기업 납세자번호</t>
  </si>
  <si>
    <t>5. 신고 접수 국가에서 최종모기업에 부여한 납세자번호
   (4의 납세자번호와 다른 납세자번호를 부여받은 경우)</t>
  </si>
  <si>
    <t>6. 글로벌최저한세 목적상 기업유형</t>
  </si>
  <si>
    <t>7. 제외기업 유형(제외기업에 해당하는 경우)</t>
  </si>
  <si>
    <t>8.「국제조세조정에 관한 법률 시행령」 제103조제4항 적용 국가에 해당되는 경우</t>
  </si>
  <si>
    <t>변동사항</t>
  </si>
  <si>
    <t xml:space="preserve">1. 직전 신고대상 사업연도 대비 변동 여부 </t>
  </si>
  <si>
    <t>소재지국</t>
  </si>
  <si>
    <t>2. 소재지국</t>
  </si>
  <si>
    <t>3. 적용가능규칙</t>
  </si>
  <si>
    <t>구성기업, 공동기업 또는 공동기업 자회사 정보</t>
  </si>
  <si>
    <t>4. 구성기업, 공동기업 또는 공동기업 자회사의 상호</t>
  </si>
  <si>
    <t>5. 납세자번호</t>
  </si>
  <si>
    <t>6. 신고 접수 국가의 납세자번호(있는 경우)</t>
  </si>
  <si>
    <t>7. 글로벌최저한세 목적상 기업유형</t>
  </si>
  <si>
    <t>구성기업, 공동기업 및 공동기업 자회사의 소유지분구조</t>
  </si>
  <si>
    <t>구성기업, 공동기업 또는 공동기업 자회사의 소유지분을 보유하고 있는 각 기업의 정보:</t>
  </si>
  <si>
    <t xml:space="preserve">8. 유형 </t>
  </si>
  <si>
    <t>9. 납세자번호(구성기업 또는 공동기업그룹 기업인 경우)</t>
  </si>
  <si>
    <t xml:space="preserve">10. 소유지분(%) </t>
  </si>
  <si>
    <t>구성기업이 부분소유모기업 또는 중간모기업인 경우 해당 구성기업에 적격소득산입규칙이 적용되는지 여부</t>
  </si>
  <si>
    <t>11. 모기업 유형</t>
  </si>
  <si>
    <t>12. 최종모기업 또는 다른 중간모기업에 소득산입규칙이 적용되는 경우 해당 최종모기업 또는 중간모기업의 납세자번호(「국제조세조정에 관한 법률」 제72조제3항 및 제4항)</t>
  </si>
  <si>
    <t>13. 다른 부분소유모기업에 적격소득산입규칙이 적용되는 경우 해당 부분소유모기업의 납세자번호(「국제조세조정에 관한 법률」 제72조제6항)</t>
  </si>
  <si>
    <t>해당 기업에 적격소득산입보완규칙이 적용되는지 여부</t>
  </si>
  <si>
    <t>14. 해외진출 초기의 다국적기업그룹에 대한 특례가 적용되는지 여부(「국제조세조정에 관한 법률」 제82조)</t>
  </si>
  <si>
    <t>15. 구성기업 또는 공동기업그룹 기업(다국적기업그룹의 구성기업으로 보는 공동기업 및 공동기업의 자회사를 의미합니다)과 관련하여 적격소득산입규칙이 적용되는 모기업이 보유하는 해당 구성기업의 소유지분(공동기업 및 공동기업의 자회사의 경우에는 추가세액배분액으로 합니다) 합계(%)</t>
  </si>
  <si>
    <t>16. 최종모기업의 해당 구성기업(해당 공동기업그룹 기업) 소유지분(추가세액배분액)이 해당 구성기업(해당 공동기업그룹 기업)과 관련하여 적격소득산입규칙이 적용되는 모기업의 해당 구성기업(해당 공동기업그룹 기업) 소유지분 합계(추가세액배분액 합계)보다 큰지 여부</t>
  </si>
  <si>
    <t>1. 직전 신고대상 사업연도 대비 변동 여부</t>
  </si>
  <si>
    <t>2. 제외기업 상호</t>
  </si>
  <si>
    <t>3. 제외기업 유형</t>
  </si>
  <si>
    <t>1.3.3 신고대상 사업연도 중 기업구조 변동</t>
  </si>
  <si>
    <t>a.</t>
  </si>
  <si>
    <t>2. 납세자번호</t>
  </si>
  <si>
    <t>3. 변동효력
발생일</t>
  </si>
  <si>
    <t>4. 변동 전 글로벌
최저한세목적상
기업 유형</t>
  </si>
  <si>
    <t>6. 변동 전 또는 변동 후
해당 구성기업(또는, 
다른 기업) 또는 공동기업
그룹 기업의 소유 지분을
보유하는 기업</t>
  </si>
  <si>
    <t>7. 변동 전 해당 구성기업
(또는 다른 기업) 또는
공동기업그룹 기업의 소유
지분을 보유했던 기업의
소유지분(%)</t>
  </si>
  <si>
    <t>1. 소재지국</t>
  </si>
  <si>
    <t>2. 하위그룹 유형
(있는 경우)</t>
  </si>
  <si>
    <t>3. 하위그룹 최상위
기업 납세자번호
(있는 경우)</t>
  </si>
  <si>
    <t>4. 글로벌최저한세
과세권이 있는
국가명</t>
  </si>
  <si>
    <t>5. 적용면제 또는
 제외 사유
(항목선택)</t>
  </si>
  <si>
    <t>6. 실효세율
범위</t>
  </si>
  <si>
    <t>7. 실질기반제외소득 
적용결과 추가세액 
발생여부</t>
  </si>
  <si>
    <t>9. 추가세액(글로벌
최저한세) 범위</t>
  </si>
  <si>
    <t>1. 소재지국(국가명)</t>
  </si>
  <si>
    <t>2. 하위그룹 유형(있는 경우)</t>
  </si>
  <si>
    <t>3. 하위그룹 최상위기업 납세자번호(있는 경우)</t>
  </si>
  <si>
    <t>4. 과세권이 있는 국가</t>
  </si>
  <si>
    <t>5. 보고내용에 차이가 존재하는지 여부</t>
  </si>
  <si>
    <t>1. 적용면제 유형 선택</t>
  </si>
  <si>
    <t>(a) 중요성이 낮은 구성기업에 대한 간소화 계산</t>
  </si>
  <si>
    <t>1. 해당 국가 내 중요성이 낮은 구성기업의 총수익금액 합계</t>
  </si>
  <si>
    <t>2. 해당 국가 내 중요성이 낮은 구성기업의 간이세액 합계</t>
  </si>
  <si>
    <t>a. 신고대상 사업연도</t>
  </si>
  <si>
    <t>b. 직전 사업연도(해당되는 경우)</t>
  </si>
  <si>
    <t>c. 직전전 사업연도(해당되는 경우)</t>
  </si>
  <si>
    <t>d. 3개 사업연도 평균(해당되는 경우)</t>
  </si>
  <si>
    <t>(a) 전환기 적용면제</t>
  </si>
  <si>
    <t>1. 총수익금액</t>
  </si>
  <si>
    <t>2. 세전손익금액</t>
  </si>
  <si>
    <t>3. 간이 대상조세 금액(「국제조세조정에 관한 법률 시행규칙」 제86조제5항 및 제7항)</t>
  </si>
  <si>
    <t>(b) 소득산입보완규칙 전환기 적용면제</t>
  </si>
  <si>
    <t>1. 법인세 명목세율</t>
  </si>
  <si>
    <t>■ 신고대상 사업연도에 대한 최소적용제외 특례 선택</t>
  </si>
  <si>
    <t>□ 중요성이 낮은 구성기업에 대한 간소화 계산을 하는 경우 - 중요성이 낮은 구성기업 외의 일반 구성기업에 대한 최소적용제외 특례 선택</t>
  </si>
  <si>
    <t>1. 회계상 매출액</t>
  </si>
  <si>
    <t xml:space="preserve">2. 글로벌최저한세 규칙상 매출액 </t>
  </si>
  <si>
    <t>3. 회계상 순이익(순손실)</t>
  </si>
  <si>
    <t>4. 글로벌최저한세소득(또는 결손)</t>
  </si>
  <si>
    <t>d. 3개 사업연도 평균</t>
  </si>
  <si>
    <t>1. 다국적기업그룹의 최초적용연도 개시일</t>
  </si>
  <si>
    <t>2. 준거국가</t>
  </si>
  <si>
    <t>3. 다국적기업그룹의 최초적용연도에 준거국가에 소재하는 유형자산의 순장부가액 합계</t>
  </si>
  <si>
    <t>4. 다국적기업그룹의 최초적용연도에 구성기업이 소재하는 국가 수</t>
  </si>
  <si>
    <t>5. 다국적기업그룹의 최초적용연도에 준거국가 외 국가에 소재하는 구성기업의 유형자산</t>
  </si>
  <si>
    <t>6. 신고대상 사업연도에 다국적기업그룹의 구성기업이 소재한 국가 수</t>
  </si>
  <si>
    <t>7. 신고대상 사업연도에 준거국가 외 국가에 소재하는 모든 구성기업의 유형자산 순장부가액 합계</t>
  </si>
  <si>
    <t>1.소득산입보완규칙
시행국가</t>
  </si>
  <si>
    <t>3. 종업원 수</t>
  </si>
  <si>
    <t>4.유형자산
순장부가액</t>
  </si>
  <si>
    <t>5.소득산입보완규칙
배분비율</t>
  </si>
  <si>
    <t>6.신고대상사업연도
소득산입보완규칙
추가세액배분액</t>
  </si>
  <si>
    <t>7.소득산입보완규칙
시행국가의 구성
기업에서 발생한 
추가 현금조세비용</t>
  </si>
  <si>
    <t>8.소득산입보완규칙
추가세액 
차기이월액</t>
  </si>
  <si>
    <t>합계</t>
  </si>
  <si>
    <t>글로벌최저한세 계산 - 국가별 기재
신고구성기업은 글로벌최저한세 계산의 적용면제 및 제외가 적용되지 않는 각 국가별(또는 별도 계산이 필요한 하위그룹별)로 제6쪽부터 제25쪽까지를 작성합니다.</t>
  </si>
  <si>
    <t xml:space="preserve"> 1. 국가명</t>
  </si>
  <si>
    <t xml:space="preserve"> 2. 하위그룹 유형(있는 경우)</t>
  </si>
  <si>
    <t xml:space="preserve"> 3. 실효세율 및 추가세액 계산이 필요한 하위그룹의 최상위기업 납세자번호(있는 경우)</t>
  </si>
  <si>
    <t xml:space="preserve"> 4. 과세권이 있는 국가</t>
  </si>
  <si>
    <t xml:space="preserve"> 5. 실효세율</t>
  </si>
  <si>
    <t xml:space="preserve"> 6. 조정대상조세</t>
  </si>
  <si>
    <t xml:space="preserve"> 7. 순글로벌최저한세소득금액</t>
  </si>
  <si>
    <t xml:space="preserve"> 8. 실질기반제외소득금액</t>
  </si>
  <si>
    <t xml:space="preserve"> 9. 당기추가세액가산액</t>
  </si>
  <si>
    <t xml:space="preserve"> 10. 과세권 국가에 납부하는 추가세액</t>
  </si>
  <si>
    <t xml:space="preserve"> 11. 국가별 선택</t>
  </si>
  <si>
    <t xml:space="preserve"> 12.「국제조세조정에 관한 법률 시행령」 제111조에 따른 배분 후 당기법인세비용 합계</t>
  </si>
  <si>
    <t xml:space="preserve"> 13. 적격환급가능세액공제 또는 적격양도가능세액공제(법인세비용)</t>
  </si>
  <si>
    <t xml:space="preserve"> 14. 기타 세액공제(법인세비용)</t>
  </si>
  <si>
    <t xml:space="preserve"> 15. 이연법인세비용</t>
  </si>
  <si>
    <t xml:space="preserve"> 16. 적격환급가능세액공제 또는 적격양도가능세액공제(소득)</t>
  </si>
  <si>
    <t xml:space="preserve"> 17. 이월조정대상조세</t>
  </si>
  <si>
    <t xml:space="preserve"> 18. 최초적용연도에 대한 특례</t>
  </si>
  <si>
    <t>a. 회계상 순이익(또는 순손실)</t>
  </si>
  <si>
    <t>b. 순글로벌최저한세소득</t>
  </si>
  <si>
    <t>c. 법인세비용</t>
  </si>
  <si>
    <t>d. 조정대상조세</t>
  </si>
  <si>
    <t>e. 실효세율</t>
  </si>
  <si>
    <t>순 조정금액</t>
  </si>
  <si>
    <t xml:space="preserve"> (a) 순조세비용의 가산(「국제조세조정에 관한 법률 시행규칙」 별표 1 제1호)</t>
  </si>
  <si>
    <t xml:space="preserve"> (b) 배당수익의 차감(「국제조세조정에 관한 법률 시행규칙」 별표 1 제2호)</t>
  </si>
  <si>
    <t xml:space="preserve"> (c) 지분손익의 조정(「국제조세조정에 관한 법률 시행규칙」 별표 1 제4호)</t>
  </si>
  <si>
    <t xml:space="preserve"> (d) 재평가손익의 조정(「국제조세조정에 관한 법률 시행규칙」 별표 1 제5호)</t>
  </si>
  <si>
    <t xml:space="preserve"> (e) 글로벌최저한세조직재편에 대한 특례(「국제조세조정에 관한 법률」 제76조 및 「국세조세조정에 관한 법률 시행령」 제129조)</t>
  </si>
  <si>
    <t xml:space="preserve"> (f) 비대칭외환손익의 조정(「국제조세조정에 관한 법률 시행규칙」 별표 1 제6호)</t>
  </si>
  <si>
    <t xml:space="preserve"> (g) 정책적 부인비용의 가산(「국제조세조정에 관한 법률 시행규칙」 별표 1 제3호)</t>
  </si>
  <si>
    <t xml:space="preserve"> (h) 전기 오류수정에 따른 조정(「국제조세조정에 관한 법률 시행규칙」 별표 1 제14호)</t>
  </si>
  <si>
    <t xml:space="preserve"> (i) 회계정책 변경에 따른 조정(「국제조세조정에 관한 법률 시행규칙」 별표 1 제14호)</t>
  </si>
  <si>
    <t xml:space="preserve"> (j) 연금손익의 조정(「국제조세조정에 관한 법률 시행규칙」 별표 1 제7호)</t>
  </si>
  <si>
    <t xml:space="preserve"> (k) 채무면제이익의 조정(「국제조세조정에 관한 법률 시행규칙」 별표 1 제11호)</t>
  </si>
  <si>
    <t xml:space="preserve"> (l) 주식기준보상비용의 조정(「국제조세조정에 관한 법률 시행규칙」 별표 1 제8호)</t>
  </si>
  <si>
    <t xml:space="preserve"> (m) 정상가격 및 동일가격 원칙의 적용에 따른 조정(「국제조세조정에 관한 법률 시행규칙」 별표 1 제17호)</t>
  </si>
  <si>
    <t xml:space="preserve"> (n) 적격환급가능세액공제 또는 적격양도가능세액공제 금액의 조정(「국제조세조정에 관한 법률 시행규칙」 별표 1 제12호 및 제13호)</t>
  </si>
  <si>
    <t xml:space="preserve"> (o) 실현주의의 적용에 따른 조정(「국제조세조정에 관한 법률 시행규칙」 별표 1 제16호)</t>
  </si>
  <si>
    <t xml:space="preserve"> (p) 총자산처분이익의 조정(「국제조세조정에 관한 법률 시행규칙」 별표 1 제10호)</t>
  </si>
  <si>
    <t xml:space="preserve"> (q) 그룹내부금융약정비용의 조정(「국제조세조정에 관한 법률 시행규칙」 별표 1 제9호)</t>
  </si>
  <si>
    <t xml:space="preserve"> (r) 구성기업 간 연결회계조정 결과의 반영에 따른 조정(「국제조세조정에 관한 법률 시행규칙」 별표 1 제15호)</t>
  </si>
  <si>
    <t xml:space="preserve"> (s) 보험계약자 관련 손익의 조정(「국제조세조정에 관한 법률 시행규칙」 별표 1 제18호)</t>
  </si>
  <si>
    <t xml:space="preserve"> (t) 그 밖의 기본자본 등에 대한 배당에 따른 조정(「국제조세조정에 관한 법률 시행규칙」 별표 1 제19호)</t>
  </si>
  <si>
    <t xml:space="preserve"> (u) 조직재편시 구성기업의 처리(「국제조세조정에 관한 법률 시행령」 제128조)</t>
  </si>
  <si>
    <t xml:space="preserve"> (v) 투과기업인 최종모기업에 대한 특례(「국제조세조정에 관한 법률」 제77조의2제2항 및 「국제조세조정에 관한 법률 시행령」 제133조)</t>
  </si>
  <si>
    <t xml:space="preserve"> (w) 배당공제제도를 적용받는 최종모기업에 대한 특례(「국제조세조정에 관한 법률」 제77조의2제1항 및 「국제조세조정에 관한 법률 시행령」 제132조)</t>
  </si>
  <si>
    <t xml:space="preserve"> (x) 과세분배방법 적용 선택에 따른 조정(「국제조세조정에 관한 법률」 제79조제6항 및 「국제조세조정에 관한 법률 시행령」 제137조)</t>
  </si>
  <si>
    <t xml:space="preserve"> (y) 국제해운소득ㆍ결손(「국제조세조정에 관한 법률」 제66조제3항 및 「국제조세조정에 관한 법률 시행령」 제106조)</t>
  </si>
  <si>
    <t xml:space="preserve"> (z) 구성기업 간 자산거래(「국제조세조정에 관한 법률 시행규칙」 제89조제4항 및 제6항)</t>
  </si>
  <si>
    <t xml:space="preserve"> (a) 회계상 세전이익 계산에서 비용으로 계상된 대상조세(「국제조세조정에 관한 법률 시행령」 제110조제1호가목)</t>
  </si>
  <si>
    <t xml:space="preserve"> (b) 결손취급특례 선택에 따른 결손취급특례이연법인세 자산의 설정 또는 사용
     (「국제조세조정에 관한 법률」 제67조제4항 및 같은 법 시행령 제113조의3)</t>
  </si>
  <si>
    <t xml:space="preserve"> (c) 이전 사업연도에 대상조세 차감으로 처리되었던 불확실한 세무처리 항목 관련 대상조세의 당기 납부
     (「국제조세조정에 관한 법률 시행령」 제110조제1호나목)</t>
  </si>
  <si>
    <t xml:space="preserve"> (d) 당기법인세비용에서 차감된 적격환급가능세액공제 또는 적격양도가능세액공제(「국제조세조정에 관한 법률 시행령」 제110조제1호다목)</t>
  </si>
  <si>
    <t xml:space="preserve"> (e) 적격 소유지분에 의한 적격투과조세혜택(「국제조세조정에 관한 법률 시행규칙」 별표 1 제4호사목, 아목, 자목 및 차목)</t>
  </si>
  <si>
    <t xml:space="preserve"> (f) 글로벌최저한세소득ㆍ결손 계산에서 제외되는 소득에 대한 당기법인세비용(「국제조세조정에 관한 법률 시행령」 제110조제2호가목)</t>
  </si>
  <si>
    <t xml:space="preserve"> (g) 당기법인세비용의 감액으로 처리되지 않은 비적격환급가능세액공제, 비적격양도가능세액공제 또는 그 밖의 세액공제
     (「국제조세조정에 관한 법률 시행령」 제110조제2호나목 및 다목)</t>
  </si>
  <si>
    <t xml:space="preserve"> (h) 적격환급가능세액공제 및 적격양도가능세액공제를 제외한 대상조세 환급 및 세액공제로서 당기법인세비용 감액으로 처리되지 않은 금액
     (「국제조세조정에 관한 법률 시행령」 제110조제2호라목)</t>
  </si>
  <si>
    <t xml:space="preserve"> (i) 불확실한 세무처리 항목 관련 당기법인세비용(「국제조세조정에 관한 법률 시행령」 제110조제2호마목)</t>
  </si>
  <si>
    <t xml:space="preserve"> (j) 사업연도 종료일부터 3년 이내에 납부되지 않을 것으로 예상되는 당기법인세비용(「국제조세조정에 관한 법률 시행령」 제110조제2호바목)</t>
  </si>
  <si>
    <t xml:space="preserve"> (k) 신고 후 조정(「국제조세조정에 관한 법률」 제68조제1항 및 제2항)</t>
  </si>
  <si>
    <t xml:space="preserve"> (l) 총자산처분이익 조정 선택을 한 경우의 자산처분순손익 관련 대상조세(「국제조세조정에 관한 법률 시행규칙」 별표 1 제10호)</t>
  </si>
  <si>
    <t xml:space="preserve"> (m) 투과기업인 최종모기업의 대상조세 감액(「국제조세조정에 관한 법률 시행령」 제133조제3항 및 제4항)</t>
  </si>
  <si>
    <t xml:space="preserve"> (n) 배당공제제도 적용 최종모기업의 차감된 글로벌최저한세소득금액 관련 대상조세(「국제조세조정에 관한 법률 시행령」 제132조)</t>
  </si>
  <si>
    <t xml:space="preserve"> (o) 간주분배세액(「국제조세조정에 관한 법률 시행령」 제134조제7항)</t>
  </si>
  <si>
    <t xml:space="preserve"> (p) 과세분배방법 적용 선택(「국제조세조정에 관한 법률 시행령」 제137조)</t>
  </si>
  <si>
    <t xml:space="preserve"> (q) 총이연법인세조정금액(「국제조세조정에 관한 법률」 제67조제2항, 제3항 및 제7항)</t>
  </si>
  <si>
    <t xml:space="preserve"> (r) 글로벌최저한세소득ㆍ결손 계산에 포함되고 과세대상인 손익과 관련된 대상조세 증감액에 대응되는 것으로서 회계상 자본 또는 
    그 밖의 포괄손익에 계상된 것(「국제조세조정에 관한 법률 시행령」 제110조제3호나목)</t>
  </si>
  <si>
    <t xml:space="preserve"> (s) 이월조정대상조세 발생(「국제조세조정에 관한 법률 시행령」 제116조의2 및 제119조제3항)</t>
  </si>
  <si>
    <t xml:space="preserve"> (t) 이월조정대상조세 금액에 의한 조정대상조세 차감(‘0’을 한도로 한다)(「국제조세조정에 관한 법률 시행령」 제116조의2 및 119조제3항)</t>
  </si>
  <si>
    <t xml:space="preserve"> 1. 이전 사업연도에서 이월된 잔액</t>
  </si>
  <si>
    <t xml:space="preserve"> 2. 신고대상 사업연도 이월조정대상조세 발생액</t>
  </si>
  <si>
    <t xml:space="preserve"> 3. 신고대상 사업연도 이월조정대상조세 사용액</t>
  </si>
  <si>
    <t xml:space="preserve"> 4. 다음 사업연도로 이월되는 이월조정대상조세 잔액</t>
  </si>
  <si>
    <t>1. 피지배외국법인소재지국</t>
  </si>
  <si>
    <t>2. 하위그룹</t>
  </si>
  <si>
    <t>3. 통합형피지배외국법인과세제도에 따른 대상조세로서 해당 하위그룹에 배분된 금액 합계</t>
  </si>
  <si>
    <t>1. 재계산과 조정 전 글로벌최저한세 기준상 이연법인세비용(「국제조세조정에 관한 법률 시행령」 제112조제1항제1호)</t>
  </si>
  <si>
    <t>a. 회계 계정상 기록된 이연법인세비용</t>
  </si>
  <si>
    <t>b. 글로벌최저한세 기준으로 계산된 장부가액이 회계상 장부금액과 다른 자산 또는 부채와 관련된 이연법인세비용</t>
  </si>
  <si>
    <t xml:space="preserve">c. 글로벌최저한세 기준으로 계산된 자산 또는 부채의 장부가액에 기초한 이연법인세비용 </t>
  </si>
  <si>
    <t>d. 재계산과 조정 전 글로벌최저한세 기준으로 계산된 이연법인세비용</t>
  </si>
  <si>
    <t>2. 총조정금액</t>
  </si>
  <si>
    <t>3. 이연법인세비용을 최저한세율로 재계산</t>
  </si>
  <si>
    <t>e. 재계산 전 글로벌최저한세 기준으로 계산된 이연법인세비용</t>
  </si>
  <si>
    <t>f. 최저한세율보다 낮은 세율로 계산된 이연법인세비용과 최저한세율로 재계산된 이연법인세비용 차이</t>
  </si>
  <si>
    <t>g. 최저한세율보다 높은 세율로 계산된 이연법인세비용과 최저한세율로 재계산된 이연법인세비용 차이</t>
  </si>
  <si>
    <t>4. 총이연법인세조정금액</t>
  </si>
  <si>
    <t xml:space="preserve"> (a) 글로벌최저한세소득ㆍ결손 계산에서 제외되는 손익 항목 관련 이연법인세비용(「국제조세조정에 관한 법률 시행령」 제112조제1항제1호의2가목)</t>
  </si>
  <si>
    <t xml:space="preserve"> (b) 불확실한 세무처리항목에 따른 이연법인세비용 등(「국제조세조정에 관한 법률 시행령」 제112조제1항제1호의2다목 및 같은 법 시행규칙 제71조제5항)</t>
  </si>
  <si>
    <t xml:space="preserve"> (c) 미반영 선택 사항 관련 이연법인세비용[「국제조세조정에 관한 법률 시행령」 제112조제1항제1호의2나목4)]</t>
  </si>
  <si>
    <t xml:space="preserve"> (d) 이연법인세자산에 대한 평가 조정 또는 인식 조정[「국제조세조정에 관한 법률 시행령」 제112조제1항제1호의2나목1)]</t>
  </si>
  <si>
    <t xml:space="preserve"> (e) 법인세 세율 변동에 따른 재계산 관련 이연법인세비용[「국제조세조정에 관한 법률 시행령」 제112조제1항제1호의2나목2)]</t>
  </si>
  <si>
    <t xml:space="preserve"> (f) 이월 세액공제의 발생 또는 사용 관련 이연법인세비용[「국제조세조정에 관한 법률 시행령」 제112조제1항제1호의2나목3)]</t>
  </si>
  <si>
    <t xml:space="preserve"> (g) 국내원천결손 관련 대체이월결손금 이연법인세자산(「국제조세조정에 관한 법률 시행규칙」 제71조제1항부터 제3항까지)</t>
  </si>
  <si>
    <t xml:space="preserve"> (h) 이전 사업연도의 이연법인세 미반영 선택 사항에 대한 법인세로서 신고대상 사업연도에 환원된 금액(「국제조세조정에 관한 법률 시행령」 제112조제1항제2호가목)</t>
  </si>
  <si>
    <t xml:space="preserve"> (i) 이전 사업연도에 발생한 이연법인세부채환입액으로서 신고대상 사업연도에 환원된 금액(「국제조세조정에 관한 법률 시행령」 제112조제1항제2호나목)</t>
  </si>
  <si>
    <t xml:space="preserve"> (j) 회계상 인식 기준 미충족으로 계상되지 않은 신고대상 사업연도의 결손금에 대한 이연법인세자산의 인식(「국제조세조정에 관한 법률 시행령」 제112조제1항제3호)</t>
  </si>
  <si>
    <t xml:space="preserve"> (k) 세율 인하에 따른 이연법인세비용 조정(「국제조세조정에 관한 법률 시행령」 제116조제1호)</t>
  </si>
  <si>
    <t xml:space="preserve"> (l) 세율 인상에 따른 이연법인세비용 조정(「국제조세조정에 관한 법률 시행령」 제116조제2호)</t>
  </si>
  <si>
    <t xml:space="preserve"> (m) 조직재편시 다국적기업그룹의 구성기업으로 포함되거나 제외되는 경우(「국제조세조정에 관한 법률 시행규칙」 제80조)</t>
  </si>
  <si>
    <t xml:space="preserve"> (n) 투과기업인 최종모기업의 이연법인세비용(「국제조세조정에 관한 법률 시행령」 제133조)</t>
  </si>
  <si>
    <t xml:space="preserve"> (o) 배당공제제도 적용 최종모기업의 이연법인세비용(「국제조세조정에 관한 법률 시행령」 제132조)</t>
  </si>
  <si>
    <t xml:space="preserve"> (p) 구성기업 간 자산거래에 따른 이연법인세 조정(「국제조세조정에 관한 법률 시행규칙」 제89조제4항)</t>
  </si>
  <si>
    <t>1. 결손금 소급공제로 인한 간주 이연법인세자산 금액</t>
  </si>
  <si>
    <t>2. 결손금 소급공제와 관련된 대상조세 환급액</t>
  </si>
  <si>
    <t>1. 신고대상 사업연도 개시 전 다섯 번째 사업연도의 환입 적용대상 이연법인세부채 금액</t>
  </si>
  <si>
    <t>3. 신고대상 사업연도의 환입 적용대상 이연법인세부채 금액</t>
  </si>
  <si>
    <t>구 분</t>
  </si>
  <si>
    <t>신고대상 사업연도</t>
  </si>
  <si>
    <t>직전 사업연도</t>
  </si>
  <si>
    <t>a. 「국제조세조정에 관한 법률 시행령」 제113조의2 및 같은 법 시행규칙 제74조의2제5항
   제3호에 따른 최초적용연도 개시 전 발생한 이연법인세부채로서 환원되지 않고 남아
   있는 것으로 보는 금액</t>
  </si>
  <si>
    <t xml:space="preserve">b. 「국제조세조정에 관한 법률 시행령」 제113조의2제1항에 따른 해당 사업연도 종료일 현재
   이연법인세부채 금액 </t>
  </si>
  <si>
    <t>c. 「국제조세조정에 관한 법률 시행령」 제113조의2제1항에 따른 비적격잔액 금액</t>
  </si>
  <si>
    <t>1. 최초적용연도</t>
  </si>
  <si>
    <t>이 연 법 인 세 부 채</t>
  </si>
  <si>
    <t>1. 최초적용연도 개시일의 이연법인세부채</t>
  </si>
  <si>
    <t>2. 최저한세율로 재계산한 이연법인세부채(해당되는 경우)</t>
  </si>
  <si>
    <t>이 연 법 인 세 자 산</t>
  </si>
  <si>
    <t>4. 최저한세율로 재계산한 이연법인세자산
(해당되는 경우)</t>
  </si>
  <si>
    <t>6. 글로벌최저한세 목적상 산입되는 
이연법인세자산</t>
  </si>
  <si>
    <t>2. 해당 자산거래 관련
납부세액</t>
  </si>
  <si>
    <t>3. 해당 자산 처분구성기업의 회계상
반영된 순이연법인세자산(또는 부채)</t>
  </si>
  <si>
    <t>4. 글로벌최저한세 목적상 해당
이전된 자산의 장부가액</t>
  </si>
  <si>
    <t>5. 글로벌최저한세 목적상 취득구성기업의 해당 자산
관련 순이연법인세자산(또는 부채)</t>
  </si>
  <si>
    <t>1. 매년 선택</t>
  </si>
  <si>
    <t xml:space="preserve"> a. 총자산처분이익 조정 선택(「국제조세조정에 관한 법률 시행규칙」 별표 1 제10호)</t>
  </si>
  <si>
    <t xml:space="preserve"> b. 대상조세의 경미한 감액에 대한 경정사업연도 반영 선택(「국제조세조정에 관한 법률」 제68조제2항)</t>
  </si>
  <si>
    <t xml:space="preserve"> c. 실질기반제외소득 미적용 선택(「국제조세조정에 관한 법률 시행규칙」 제75조제14항)</t>
  </si>
  <si>
    <t xml:space="preserve"> d. 이월조정대상조세 처리 선택(「국제조세조정에 관한 법률 시행령」 제119조제3항)</t>
  </si>
  <si>
    <t>2. 5년 선택</t>
  </si>
  <si>
    <t>3. 선택 사업연도</t>
  </si>
  <si>
    <t>4. 취소 사업연도</t>
  </si>
  <si>
    <t xml:space="preserve"> e. 지분투자손익포함 선택(「국제조세조정에 관한 법률 시행규칙」 별표 1 제4호라목)</t>
  </si>
  <si>
    <t xml:space="preserve"> f. 주식기준보상비용 세무조정 선택(「국제조세조정에 관한 법률 시행규칙」 별표 1 제8호)</t>
  </si>
  <si>
    <t xml:space="preserve"> g. 실현주의 적용 선택(「국제조세조정에 관한 법률 시행규칙」 별표 1 제16호)</t>
  </si>
  <si>
    <t xml:space="preserve"> h. 구성기업 간 연결회계조정 결과의 반영에 따른 조정 선택(「국제조세조정에 관한 법률 시행규칙」 별표 1 제15호)</t>
  </si>
  <si>
    <t xml:space="preserve"> i. 국가간 이연법인세비용 미배분 적용 선택(「국제조세조정에 관한 법률 시행령」 제111조제3항 및 제4항)</t>
  </si>
  <si>
    <t>5. 그 밖의 선택</t>
  </si>
  <si>
    <t>6. 선택 사업연도</t>
  </si>
  <si>
    <t>7. 취소 사업연도</t>
  </si>
  <si>
    <t xml:space="preserve"> j. 결손취급특례 선택(「국제조세조정에 관한 법률」 제67조제4항 및 같은 법 시행령 제113조의3)</t>
  </si>
  <si>
    <t xml:space="preserve"> 1. 지분투자손익포함선택에 따른 지분손익 산입 </t>
  </si>
  <si>
    <t xml:space="preserve"> 2. 적격소유지분에 대한 투자가액의 이전 사업연도 잔액</t>
  </si>
  <si>
    <t xml:space="preserve"> 3. 적격소유지분에 대한 투자가액의 증액</t>
  </si>
  <si>
    <t xml:space="preserve"> 4. 적격소유지분에 대한 투자가액의 감액</t>
  </si>
  <si>
    <t xml:space="preserve"> 5. 적격소유지분에 대한 투자가액 잔액</t>
  </si>
  <si>
    <t xml:space="preserve"> 1. 간주분배세액 선택(「국제조세조정에 관한 법률」 제78조제1항)</t>
  </si>
  <si>
    <t>□</t>
  </si>
  <si>
    <t>1. 사업연도</t>
  </si>
  <si>
    <t>2. 간주분배세액결정 
(「국제조세조정에 관한 법률
시행령」 제134조제2항)</t>
  </si>
  <si>
    <t>3. 간주분배세액 환입계정</t>
  </si>
  <si>
    <t>4. 간주분배세액 환입계정 잔액</t>
  </si>
  <si>
    <t>직전 3년차 사업연도</t>
  </si>
  <si>
    <t>직전 전 사업연도</t>
  </si>
  <si>
    <t>직전 4년차</t>
  </si>
  <si>
    <t>직전 3년차</t>
  </si>
  <si>
    <t>해당없음</t>
  </si>
  <si>
    <t>직전 2년차</t>
  </si>
  <si>
    <t>직전연도</t>
  </si>
  <si>
    <t>1. 이전 사업연도 조정대상조세 감액</t>
  </si>
  <si>
    <t>2. 추가세액 재계산에 따른 추가세액 증가액</t>
  </si>
  <si>
    <t>3. 처분환입비율</t>
  </si>
  <si>
    <t xml:space="preserve"> 1. 모든 구성기업 또는 공동기업그룹 기업의 국제해운소득ㆍ결손 합계</t>
  </si>
  <si>
    <t xml:space="preserve"> 2. 50% 한도</t>
  </si>
  <si>
    <t xml:space="preserve"> 3. 모든 구성기업 또는 공동기업그룹 기업의 적격국제해운부수소득ㆍ결손 합계</t>
  </si>
  <si>
    <t xml:space="preserve"> 4. B가 A의 50%를 넘는 경우의 한도 초과액</t>
  </si>
  <si>
    <t>a. 추가세액비율</t>
  </si>
  <si>
    <t>b. 실질기반제외소득</t>
  </si>
  <si>
    <t>c. 초과이익</t>
  </si>
  <si>
    <t>d. 당기추가세액가산액</t>
  </si>
  <si>
    <t>e. 적격소재국추가세액</t>
  </si>
  <si>
    <t>f. 추가세액</t>
  </si>
  <si>
    <t>인건비 제외금액</t>
  </si>
  <si>
    <t>유형자산 제외금액</t>
  </si>
  <si>
    <t>1. 적격종업원에 관한 해당기업
소재지국의 적격인건비</t>
  </si>
  <si>
    <t>2. 신고대상 사업연도에
적용되는 반영 비율</t>
  </si>
  <si>
    <t>3. 적격유형자산에 관한 해당기업
소재지국의 장부가액</t>
  </si>
  <si>
    <t>4. 신고대상 사업연도에 적용되는
반영 비율</t>
  </si>
  <si>
    <t xml:space="preserve">5. 실질기반제외소득 </t>
  </si>
  <si>
    <t>3.3.2.2 실질기반제외소득 계산 목적상 적격인건비 및 적격유형자산 장부가액의 고정사업장 배분</t>
  </si>
  <si>
    <t>1. 적격인건비</t>
  </si>
  <si>
    <t>2. 적격유형자산 장부가액</t>
  </si>
  <si>
    <t>3. 고정사업장 소재지국</t>
  </si>
  <si>
    <t>4. 고정사업장에 배분된 적격인건비</t>
  </si>
  <si>
    <t>5. 고정사업장에 배분된 적격유형자산 장부가액</t>
  </si>
  <si>
    <t>3.3.2.3 실질기반제외소득 계산 목적상 투과기업의 적격인건비 및 적격유형자산 장부가액의 배분</t>
  </si>
  <si>
    <t>3. 주주구성기업 (또는 주주인 
공동기업그룹 기업) 소재지국</t>
  </si>
  <si>
    <t>4. 주주구성기업 (또는 주주인 공동
기업그룹 기업)에 배분된 적격
인건비 (또는 실질기반제외소득
 계산에서 제외되는 금액)</t>
  </si>
  <si>
    <t>5. 주주구성기업 (또는 주주인 공동기업그룹 기업)에
배분된 적격유형자산 장부가액 (또는 
실질기반제외소득 계산에서 제외되는 금액)</t>
  </si>
  <si>
    <t>1. 관련 근거</t>
  </si>
  <si>
    <t>2. 관련 사업연도</t>
  </si>
  <si>
    <t xml:space="preserve">3. 당초신고 또는
재계산 </t>
  </si>
  <si>
    <t>4. 순글로벌최저한세
소득ㆍ결손</t>
  </si>
  <si>
    <t>5. 조정대상조세</t>
  </si>
  <si>
    <t>6. 실효세율</t>
  </si>
  <si>
    <t>7. 초과 이익</t>
  </si>
  <si>
    <t>8. 추가세액
   비율(%)</t>
  </si>
  <si>
    <t>9. 추가세액</t>
  </si>
  <si>
    <t>10. 당기추가세액
가산액</t>
  </si>
  <si>
    <t>이전 사업연도</t>
  </si>
  <si>
    <t xml:space="preserve"> a. 당초신고</t>
  </si>
  <si>
    <t xml:space="preserve"> b. 재계산</t>
  </si>
  <si>
    <t xml:space="preserve"> 1. 소재지국 조정대상조세(음수)</t>
  </si>
  <si>
    <t xml:space="preserve"> 2. 소재지국 순글로벌최저한세결손</t>
  </si>
  <si>
    <t xml:space="preserve"> 3. 조정대상조세 예상액</t>
  </si>
  <si>
    <t xml:space="preserve"> 4. 당기추가세액가산액</t>
  </si>
  <si>
    <t xml:space="preserve"> 1. 회계기준</t>
  </si>
  <si>
    <t xml:space="preserve"> 2. 적격소재국추가세액</t>
  </si>
  <si>
    <t xml:space="preserve"> 3. 적격소재국추가세제도 최저한세율(15%보다 높은 경우) </t>
  </si>
  <si>
    <t xml:space="preserve"> 4. 실효세율 계산을 위한 소득 및 세금 합산 기준(글로벌최저한세 규칙과 다른 경우)</t>
  </si>
  <si>
    <t xml:space="preserve"> 5. 사용 통화(연결재무제표 작성 통화와 다른 경우)</t>
  </si>
  <si>
    <t xml:space="preserve"> 6. 연결재무제표 작성 통화 또는 현지통화 사용 여부 5년선택</t>
  </si>
  <si>
    <t>통화</t>
  </si>
  <si>
    <t>선택 사업연도</t>
  </si>
  <si>
    <t>취소 사업연도</t>
  </si>
  <si>
    <t xml:space="preserve"> 7. 실질기반제외소득 적용가능 여부 </t>
  </si>
  <si>
    <t xml:space="preserve"> 8. 최소적용제외 특례 적용가능 여부</t>
  </si>
  <si>
    <t>1. 귀 다국적기업그룹은 전환기 국가별 간소화 신고체계의 적용을 선택합니까?</t>
  </si>
  <si>
    <t>1. 연결납세그룹(납세자번호)</t>
  </si>
  <si>
    <t>2. 해당 연결납세그룹에 포함된 기업(납세자번호)</t>
  </si>
  <si>
    <t>가산액</t>
  </si>
  <si>
    <t>차감액</t>
  </si>
  <si>
    <t xml:space="preserve"> (e) 글로벌최저한세조직재편에 대한 특례(「국제조세조정에 관한 법률」 제76조제2항부터 제4항까지 및 같은 법 시행령 제129조)</t>
  </si>
  <si>
    <t xml:space="preserve"> (q) 그룹내부금융약정비용의 조정(「국제조세조정에 관한 법률 시행규칙」 별표 1 제9호) </t>
  </si>
  <si>
    <t xml:space="preserve"> (v) 투과기업인 최종모기업에 대한 특례(「국제조세조정에 관한 법률」 제77조의2제2항 및 같은 법 시행령 제133조)</t>
  </si>
  <si>
    <t xml:space="preserve"> (w) 배당공제제도를 적용받는 최종모기업에 대한 특례(「국제조세조정에 관한 법률」 제77조의2제1항 및 같은 법 시행령 제132조) </t>
  </si>
  <si>
    <t xml:space="preserve"> (x) 과세분배방법 적용 선택에 따른 조정(「국제조세조정에 관한 법률」 제79조제6항 및 같은 법 시행령 제137조)</t>
  </si>
  <si>
    <t xml:space="preserve"> (y) 국제해운소득ㆍ결손(「국제조세조정에 관한 법률」 제66조제3항 및 같은 법 시행령 제106조) </t>
  </si>
  <si>
    <t xml:space="preserve"> (z) 구성기업 간 자산거래(「국제조세조정에 관한 법률 시행규칙」 제89조제4항)</t>
  </si>
  <si>
    <t>1. 해당 국가에 
소재하는 구성기업
또는 공동기업그룹
기업 또는 무국적
구성기업
(납세자번호)</t>
  </si>
  <si>
    <t>2. 조정 전 
회계상 순손익</t>
  </si>
  <si>
    <t>3. 조정근거</t>
  </si>
  <si>
    <t>4. 상대 구성기업
또는 공동기업그룹 기업
(납세자번호)</t>
  </si>
  <si>
    <t>5. 상대 구성기업 
또는 공동기업그룹 기업의 
소재지국(ISO 코드)</t>
  </si>
  <si>
    <t>6. 해당 구성기업에
대한 손익배분
가산액</t>
  </si>
  <si>
    <t>7. 해당 구성기업에
대한 손익배분
차감액</t>
  </si>
  <si>
    <t>8. 조정 후 
회계상 순손익</t>
  </si>
  <si>
    <t>1. 해당 국가에
소재하는 구성기업
또는 공동기업
그룹 기업
(납세자번호)</t>
  </si>
  <si>
    <t>2. 조정근거</t>
  </si>
  <si>
    <t>3. 상대 구성기업 또는 공동기업그룹 기업(납세자번호)</t>
  </si>
  <si>
    <t>4. 상대 구성기업 또는 공동기업
그룹 기업 소재지국(ISO 코드)</t>
  </si>
  <si>
    <t>5. 해당 구성기업에 대한
손익배분 가산액</t>
  </si>
  <si>
    <t>6. 해당 구성기업에 대한
손익배분 차감액</t>
  </si>
  <si>
    <t>1. 해당 국가에 소재하는 구성기업 또는
공동기업그룹 기업(납세자번호)</t>
  </si>
  <si>
    <t>2. 감액근거</t>
  </si>
  <si>
    <t>3. 소유지분보유자 또는 배당수취자
정보</t>
  </si>
  <si>
    <t>4. 직접보유비율(%)</t>
  </si>
  <si>
    <t>5. 해당 구성기업의 소득차감액</t>
  </si>
  <si>
    <t xml:space="preserve"> (a) 회계상 세전이익 계산에서 비용으로 계상한 대상조세(「국제조세조정에 관한 법률 시행령」 제110조제1호가목)</t>
  </si>
  <si>
    <t xml:space="preserve"> (b) 이전 사업연도에 대상조세 차감으로 처리되었던 불확실한 세무처리 항목 관련 대상조세의 당기 납부(「국제조세조정에 관한 법률 시행령」 제110조제1호나목)</t>
  </si>
  <si>
    <t xml:space="preserve"> (c) 당기법인세비용에서 차감된 적격환급가능세액공제 또는 적격양도가능세액공제(「국제조세조정에 관한 법률 시행령」 제110조제1호다목)</t>
  </si>
  <si>
    <t xml:space="preserve"> (d) 적격 소유지분에 의한 적격투과조세혜택(「국제조세조정에 관한 법률 시행규칙」 별표 1 제4호사목부터 차목까지)</t>
  </si>
  <si>
    <t xml:space="preserve"> (e) 글로벌최저한세소득ㆍ결손 계산에서 제외되는 소득에 대한 당기법인세비용(「국제조세조정에 관한 법률 시행령」 제110조제2호가목)</t>
  </si>
  <si>
    <t xml:space="preserve"> (f) 당기법인세비용의 감액으로 처리되지 않은 비적격환급가능세액공제, 비적격양도가능세액공제 또는 그 밖의 세액공제
    (「국제조세조정에 관한 법률 시행령」 제110조제2호나목 및 다목)</t>
  </si>
  <si>
    <t xml:space="preserve"> (g) 적격환급가능세액공제 및 적격양도가능세액공제를 제외한 대상조세 환급 및 세액공제로서 당기법인세비용 감액으로 처리되지 않은 금액
    (「국제조세조정에 관한 법률 시행령」 제110조제2호라목)</t>
  </si>
  <si>
    <t xml:space="preserve"> (h) 불확실한 세무처리 항목 관련 당기법인세비용(「국제조세조정에 관한 법률 시행령」 제110조제2호마목)</t>
  </si>
  <si>
    <t xml:space="preserve"> (i) 사업연도 종료일부터 3년 이내에 납부되지 않을 것으로 예상되는 당기법인세비용(「국제조세조정에 관한 법률 시행령」 제110조제2호바목)</t>
  </si>
  <si>
    <t xml:space="preserve"> (j) 신고 후 조정(「국제조세조정에 관한 법률」 제68조제1항 및 제2항)</t>
  </si>
  <si>
    <t xml:space="preserve"> (k) 총자산처분이익 조정 선택을 한 경우에 대한 자산처분순손익 관련 대상조세(「국제조세조정에 관한 법률 시행규칙」 별표 1 제10호가목)</t>
  </si>
  <si>
    <t xml:space="preserve"> (l) 투과기업인 최종모기업의 대상조세 감액(「국제조세조정에 관한 법률 시행령」 제133조제2항)</t>
  </si>
  <si>
    <t xml:space="preserve"> (m) 배당공제제도 적용 최종모기업의 차감된 글로벌최저한세소득금액 관련 대상조세(「국제조세조정에 관한 법률 시행령」 제132조)</t>
  </si>
  <si>
    <t xml:space="preserve"> (n) 간주분배세액(「국제조세조정에 관한 법률 시행령」 제134조제7항)</t>
  </si>
  <si>
    <t xml:space="preserve"> (o) 과세분배방법 적용 선택(「국제조세조정에 관한 법률 시행령」 제137조)</t>
  </si>
  <si>
    <t xml:space="preserve"> (p) 총이연법인세조정금액(「국제조세조정에 관한 법률」 제67조제2항부터 제4항까지)</t>
  </si>
  <si>
    <t xml:space="preserve"> (q) 글로벌최저한세소득ㆍ결손 계산에 포함되고 과세 대상인 손익과 관련된 대상조세 증감액에 대응되는 것으로서 회계상 자본 또는 기타포괄손익에 계상된 것
    (「국제조세조정에 관한 법률 시행령」 제110조제3호나목)</t>
  </si>
  <si>
    <t>1. 구성기업, 공동
기업그룹 기업
(또는 무국적구성
기업) 납세자번호</t>
  </si>
  <si>
    <t>2. 구성기업(또는 공동
기업그룹 기업)의 
배분 전 대상조세</t>
  </si>
  <si>
    <t>3. 조정 근거</t>
  </si>
  <si>
    <t>4. 상대 구성기업(또는
공동기업그룹 
기업) 납세자번호</t>
    <phoneticPr fontId="2" type="noConversion"/>
  </si>
  <si>
    <t>5. 상대 구성기업(또는
공동기업그룹 기업)
소재지국(ISO 코드)</t>
  </si>
  <si>
    <t>8. 조정 후 구성기업
(또는 공동기업그룹의
기업)의 대상조세</t>
  </si>
  <si>
    <t xml:space="preserve"> (b) 불확실한 세무처리 항목 등 관련 이연법인세비용(「국제조세조정에 관한 법률 시행령」 제112조제1항1호의2다목)</t>
  </si>
  <si>
    <t xml:space="preserve"> (c) 이연법인세부채 미반영 선택 사항 관련 이연법인세비용(「(국제조세조정에 관한 법률 시행령」 제112조제1항1호의2나목4))</t>
  </si>
  <si>
    <t xml:space="preserve"> (d) 이연법인세자산에 대한 평가 조정 또는 인식 조정 관련(「국제조세조정에 관한 법률 시행령」 제112조제1항1호의2나목1))</t>
  </si>
  <si>
    <t xml:space="preserve"> (e) 법인세 세율 변동에 따른 재계산 관련 이연법인세비용(「국제조세조정에 관한 법률 시행령」 제112조제1항1호의2나목2))</t>
  </si>
  <si>
    <t xml:space="preserve"> (f) 이월세액공제의 발생 또는 사용 관련 이연법인세비용(「국제조세조정에 관한 법률 시행령」 제112조제1항1호의2나목3))</t>
  </si>
  <si>
    <t xml:space="preserve"> (j) 회계상 인식 기준 미충족으로 계상되지 않은 신고대상 사업연도의 결손금 이연법인세자산의 인식(「국제조세조정에 관한 법률 시행령」 제112조제1항제3호)</t>
  </si>
  <si>
    <t xml:space="preserve"> (m) 조직재편 시 다국적기업그룹의 구성기업으로 포함되거나 제외되는 경우(「국제조세조정에 관한 법률 시행규칙」 제80조제4호 및 제5호) </t>
  </si>
  <si>
    <t xml:space="preserve"> 1. 선택적용 대상 구성기업(또는 공동기업그룹 기업) 납세자번호</t>
  </si>
  <si>
    <t xml:space="preserve"> 2. 매년 선택</t>
  </si>
  <si>
    <t>a. 중요성이 낮은 구성기업에 대한 간소화 계산 선택(간소화 계산 적용)</t>
  </si>
  <si>
    <t>b. 채무면제이익의 제외 선택(「국제조세조정에 관한 법률 시행규칙」 별표 1 제11호)</t>
  </si>
  <si>
    <t>c. 이연법인세비용 미반영 선택(「국제조세조정에 관한 법률 시행령」 제112조제1항제1호의2나목4))</t>
  </si>
  <si>
    <t xml:space="preserve"> 3. 5년 선택</t>
  </si>
  <si>
    <t>4. 선택 사업연도</t>
  </si>
  <si>
    <t>5. 취소 사업연도</t>
  </si>
  <si>
    <t>d. 제외기업의 구성기업 간주 선택(「국제조세조정에 관한 법률」 제62조제4항)</t>
  </si>
  <si>
    <t>e. 분산투자지분에 대한 배당의 글로벌최저한세소득 포함 선택(「국제조세조정에 관한 법률 시행규칙」 별표 1 제2호다목)</t>
  </si>
  <si>
    <t>f. 분산투자지분 외의 소유지분 관련 환위험 회피수단 발생 외환손익의 제외 지분손익 포함 선택(「국제조세조정에 관한 법률 시행규칙」 별표 1 제4호나목)</t>
  </si>
  <si>
    <t>g. 투자기업의 투시과세기업 취급 선택(「국제조세조정에 관한 법률」 제79조제5항 및 같은 법 시행령 제136조)</t>
  </si>
  <si>
    <t>h. 투자기업에 대한 과세분배방법 적용 선택(「국제조세조정에 관한 법률」 제79조제6항 및 같은 법 시행령 제137조)</t>
  </si>
  <si>
    <t>i. 이연법인세비용 미반영 선택(「국제조세조정에 관한 법률 시행령」 제112조제1항제1호의2나목4))</t>
  </si>
  <si>
    <t xml:space="preserve"> 6. 기타선택</t>
  </si>
  <si>
    <t>j. 결손취급특례 적용 선택(「국제조세조정에 관한 법률」 제67조제4항 및 같은 법 시행령 제113조의3)</t>
  </si>
  <si>
    <t>k. 공정가액조정 선택(「국제조세조정에 관한 법률」 제76조제4항 및 같은 법 시행령 제129조제4항)</t>
  </si>
  <si>
    <t>1. 선택적용 대상 구성기업 (또는 
   공동기업그룹 기업) 납세자번호</t>
  </si>
  <si>
    <t>2. 공정가액조정 적용 사업연도</t>
  </si>
  <si>
    <t>3. (i) 공정가액조정 적용 사업연도의 글로벌최저한세소득 포함(「국제조세조정에 관한 법률 시행령」
       제129조제4항제3호가목) 또는 
   (ii) 공정가액조정 적용 사업연도 및 이후 4개 사업연도의 글로벌최저한세소득 포함 선택
       (「국제조세조정에 관한 법률 시행령」 제129조제4항제3호나목)</t>
    <phoneticPr fontId="2" type="noConversion"/>
  </si>
  <si>
    <t xml:space="preserve">   </t>
    <phoneticPr fontId="2" type="noConversion"/>
  </si>
  <si>
    <t xml:space="preserve"> </t>
    <phoneticPr fontId="2" type="noConversion"/>
  </si>
  <si>
    <t>1. 본 소재지국 구성기업(또는 공동기업그룹 기업) 납세자번호</t>
  </si>
  <si>
    <t>국제해운소득ㆍ결손</t>
  </si>
  <si>
    <t>2. 유형(「국제조세조정에 관한 법률 시행령」 제106조제1항제1호부터 제6호까지의 규정 중 선택)</t>
  </si>
  <si>
    <t>3. 수익</t>
  </si>
  <si>
    <t>4. 비용</t>
  </si>
  <si>
    <t>5. 국제해운소득ㆍ결손</t>
  </si>
  <si>
    <t>적격국제해운부수소득ㆍ결손</t>
  </si>
  <si>
    <t>6. 유형(「국제조세조정에 관한 법률 시행령」 제106조제2항제1호부터 제5호까지의 규정 중 선택)</t>
  </si>
  <si>
    <t>7. 수익</t>
  </si>
  <si>
    <t>8. 비용</t>
  </si>
  <si>
    <t>9. 적격국제해운부수소득ㆍ결손</t>
  </si>
  <si>
    <t>실질기반제외소득에 대한 효과</t>
  </si>
  <si>
    <t>10. 국제해운소득ㆍ결손 및 적격국제해운부수소득ㆍ결손에 귀속되는 인건비</t>
  </si>
  <si>
    <t>11. 국제해운소득ㆍ결손 및 적격국제해운부수소득ㆍ결손 창출에 사용된 유형자산 장부가액</t>
  </si>
  <si>
    <t>대상조세</t>
  </si>
  <si>
    <t>12. 국제해운소득ㆍ결손 및 적격국제해운부수소득ㆍ결손에 귀속되는 대상조세</t>
  </si>
  <si>
    <t>과세분배방법 적용 선택</t>
  </si>
  <si>
    <t>1. 선택대상인 주주구성기업 (또는
주주인 공동기업그룹 기업)
(납세자번호)</t>
  </si>
  <si>
    <t>2. 선택대상 투자기업
(납세자번호)</t>
  </si>
  <si>
    <t>3. 투자기업의 글로벌최저한세소득으로서
주주구성기업(또는 주주인 공동기업그룹
기업)이 수취하거나 수취한 것으로 
간주되는 분배금</t>
  </si>
  <si>
    <t>4. 투자기업이 납부하는 대상조세로서
주주구성기업(또는 주주인 
공동기업그룹 기업)의  분배금 등에
대한 산출세액에서 공제되는 금액</t>
  </si>
  <si>
    <t>5. 투자기업의 미분배 순글로벌최저한세
소득금액 잔액 중 해당 주주구성기업
(또는 주주인 공동기업그룹 기업)에
귀속되는 지분율</t>
  </si>
  <si>
    <t>1. 최종모기업의 연결재무제표 작성 회계기준 외의 회계기준에 따라 계산된 회계상 순손익을
사용하는 구성기업(또는 공동기업그룹 기업)의 납세자번호</t>
  </si>
  <si>
    <t>2. 적용하는 인정회계기준 또는 공인회계기준</t>
  </si>
  <si>
    <t>1. 추가세액 배분
   그룹기업</t>
  </si>
  <si>
    <t>a. 저율과세구성기업 또는 저율과세 공동기업그룹 기업의 납세자번호</t>
  </si>
  <si>
    <t>b. 저율과세구성기업 또는 저율과세 공동기업그룹 기업의 글로벌최저한세소득</t>
  </si>
  <si>
    <t>c. 저율과세구성기업 또는 저율과세 공동기업그룹 기업의 추가세액</t>
  </si>
  <si>
    <t>2. 적격소득산입규칙을
   적용해야 하는 모기업</t>
  </si>
  <si>
    <t>a. 모기업(납세자번호)</t>
  </si>
  <si>
    <t>b. 모기업 소재지국</t>
  </si>
  <si>
    <t>c. 모기업 외의 다른 소유지분 보유자에게 귀속되는 글로벌최저한세소득</t>
  </si>
  <si>
    <t>d. 모기업의 소득산입비율</t>
  </si>
  <si>
    <t>3. 소득산입규칙
   추가세액</t>
    <phoneticPr fontId="2" type="noConversion"/>
  </si>
  <si>
    <t>a. 모기업의 추가세액배분액</t>
    <phoneticPr fontId="2" type="noConversion"/>
  </si>
  <si>
    <t>b. 소득산입규칙 추가세액배분액의 차감액</t>
  </si>
  <si>
    <t>c. 모기업이 납부할 추가세액 합계</t>
    <phoneticPr fontId="2" type="noConversion"/>
  </si>
  <si>
    <t>1.「국제조세조정에 관한 법률」 제73조제3항제1호에 해당하지 않는 저율과세구성기업 또는 저율과세 공동기업그룹 기업의 납세자번호</t>
  </si>
  <si>
    <t>2.「국제조세조정에 관한 법률」 제73조제3항제2호에 따라 같은 조 제2항의 저율과세구성기업(또는 저율과세 공동기업 또는 공동기업 자회사) 추가세액에서
  소득산입규칙 추가세액 납부액을 차감</t>
  </si>
  <si>
    <t>3. 해당 소재지국에 대한 소득산입보완규칙 추가세액 합계</t>
  </si>
  <si>
    <t>key</t>
  </si>
  <si>
    <t>value</t>
  </si>
  <si>
    <t>sheet:1.1~1.2</t>
  </si>
  <si>
    <t>1.1~1.2</t>
  </si>
  <si>
    <t>sheet:1.3.1</t>
  </si>
  <si>
    <t>1.3.1</t>
  </si>
  <si>
    <t>sheet:1.3.2.1</t>
  </si>
  <si>
    <t>1.3.2.1</t>
  </si>
  <si>
    <t>sheet:1.3.2.2</t>
  </si>
  <si>
    <t>1.3.2.2</t>
  </si>
  <si>
    <t>sheet:1.3.3</t>
  </si>
  <si>
    <t>1.3.3</t>
  </si>
  <si>
    <t>sheet:1.4</t>
  </si>
  <si>
    <t>1.4</t>
  </si>
  <si>
    <t>blockCount:1.3.1</t>
  </si>
  <si>
    <t>blockCount:1.3.2.1</t>
  </si>
  <si>
    <t>blockCount:1.3.2.2</t>
  </si>
  <si>
    <t>blockCount:1.3.3</t>
  </si>
  <si>
    <t>blockCount:1.4</t>
  </si>
  <si>
    <t>sheet:2</t>
  </si>
  <si>
    <t>2</t>
  </si>
  <si>
    <t>fileType</t>
  </si>
  <si>
    <t>main</t>
  </si>
  <si>
    <t>구성기업 정보</t>
    <phoneticPr fontId="2" type="noConversion"/>
  </si>
  <si>
    <t>(b) 조정내역</t>
    <phoneticPr fontId="2" type="noConversion"/>
  </si>
  <si>
    <t>(b) 국가별 선택과 관련된 필요정보</t>
    <phoneticPr fontId="2" type="noConversion"/>
  </si>
  <si>
    <t>납세자번호, 납세자번호 유형, 발급국가를 컴마로 구분하여 기재
납세자번호 유형
GIR3001: Tax Identification Number
GIR3002: Functionally equivalent number
GIR3003: Agreed GIR designated number
GIR3004: Not required to be reported
발급국가 ISO3166-alpha2</t>
    <phoneticPr fontId="0" type="noConversion"/>
  </si>
  <si>
    <t>신고대상 사업연도 중 발생한 기업구조의 변동이 실효세율 계산이나 추가세액 계산 또는 배분에 영향을 미치지 않아 별도로 작성할 필요가 없는 경우인지 여부</t>
    <phoneticPr fontId="0" type="noConversion"/>
  </si>
  <si>
    <t>1. 구성기업 (또는 다국적 
    기업그룹의 다른 기업) 
    또는 공동기업그룹 
    기업의 상호</t>
    <phoneticPr fontId="0" type="noConversion"/>
  </si>
  <si>
    <t>9. 주주기업 유형</t>
    <phoneticPr fontId="0" type="noConversion"/>
  </si>
  <si>
    <t>8. 추가세액 (적격
소재국추가세)
범위</t>
    <phoneticPr fontId="0" type="noConversion"/>
  </si>
  <si>
    <t>2.소득산입보완규칙
추가세액배분액
전기이월액</t>
    <phoneticPr fontId="0" type="noConversion"/>
  </si>
  <si>
    <t>사업연도(일자)</t>
    <phoneticPr fontId="0" type="noConversion"/>
  </si>
  <si>
    <t>합계</t>
    <phoneticPr fontId="0" type="noConversion"/>
  </si>
  <si>
    <t xml:space="preserve">2. 신고대상 사업연도 개시 전 다섯 번째 사업연도의 이연법인세부채 금액으로서 신고대상 사업연도에 환입되는 금액 </t>
    <phoneticPr fontId="0" type="noConversion"/>
  </si>
  <si>
    <t>3. 최초적용연도 개시일의
이연법인세자산</t>
    <phoneticPr fontId="0" type="noConversion"/>
  </si>
  <si>
    <t>5.「국제조세조정에 관한 법률 시행규칙」 제89조에
따라 제외되는 이연법인세자산</t>
    <phoneticPr fontId="0" type="noConversion"/>
  </si>
  <si>
    <t>1. 처분기업 소재지국</t>
    <phoneticPr fontId="0" type="noConversion"/>
  </si>
  <si>
    <t>영문 기업명</t>
    <phoneticPr fontId="2" type="noConversion"/>
  </si>
  <si>
    <t>국문 기업명(참고용)</t>
    <phoneticPr fontId="2" type="noConversion"/>
  </si>
  <si>
    <t>하위그룹 최상위기업명(영문)</t>
    <phoneticPr fontId="2" type="noConversion"/>
  </si>
  <si>
    <t>구분 Key</t>
    <phoneticPr fontId="2" type="noConversion"/>
  </si>
  <si>
    <r>
      <t xml:space="preserve">기업 납세자번호
</t>
    </r>
    <r>
      <rPr>
        <sz val="11"/>
        <color theme="1"/>
        <rFont val="맑은 고딕"/>
        <family val="3"/>
        <charset val="129"/>
        <scheme val="minor"/>
      </rPr>
      <t>(없는 경우 Null1, Null2)</t>
    </r>
    <phoneticPr fontId="2" type="noConversion"/>
  </si>
  <si>
    <t>연번</t>
    <phoneticPr fontId="2" type="noConversion"/>
  </si>
  <si>
    <t>국가</t>
    <phoneticPr fontId="2" type="noConversion"/>
  </si>
  <si>
    <t>회계처리</t>
    <phoneticPr fontId="2" type="noConversion"/>
  </si>
  <si>
    <t>1.3.2.1.4</t>
    <phoneticPr fontId="2" type="noConversion"/>
  </si>
  <si>
    <t>사업자등록번호 또는현지기업고유번호(국세청 발급)</t>
  </si>
  <si>
    <t>납세자번호</t>
  </si>
  <si>
    <t>소재지(한글)</t>
  </si>
  <si>
    <t>소재지(영문)</t>
  </si>
  <si>
    <t>1-1</t>
    <phoneticPr fontId="2" type="noConversion"/>
  </si>
  <si>
    <t>1-2</t>
    <phoneticPr fontId="2" type="noConversion"/>
  </si>
  <si>
    <t>코드 - 내용</t>
    <phoneticPr fontId="2" type="noConversion"/>
  </si>
  <si>
    <t>코드</t>
    <phoneticPr fontId="2" type="noConversion"/>
  </si>
  <si>
    <t>내용</t>
    <phoneticPr fontId="2" type="noConversion"/>
  </si>
  <si>
    <t>① GIR401 – 최종모기업
② GIR402 – 지정구성기업
③ GIR403 – 지정국내기업
④ GIR404 – 구성기업
⑤ GIR405 – 기타</t>
    <phoneticPr fontId="2" type="noConversion"/>
  </si>
  <si>
    <t>GIR401</t>
  </si>
  <si>
    <t>GIR402</t>
  </si>
  <si>
    <t>지정구성기업</t>
  </si>
  <si>
    <t>GIR403</t>
  </si>
  <si>
    <t>지정국내기업</t>
  </si>
  <si>
    <t>GIR404</t>
  </si>
  <si>
    <t>구성기업</t>
  </si>
  <si>
    <t>GIR405</t>
  </si>
  <si>
    <t>기타</t>
  </si>
  <si>
    <t>① GIR501 – 모기업이 인정회계기준에 따라 작성한 연결재무제표
② GIR502 – 최종모기업의 인정회계기준 재무제표
③ GIR503 – 최종모기업이 인정회계기준이 아닌 경우, 중대왜곡방지조정을 반영한 재무제표
④ GIR504 – 그 외의 경우(재무제표 작성 의무 없는 경우, 인정회계기준 작성 또는 공인회계기준 작성 및 중대왜곡방지조정된 재무제표)</t>
    <phoneticPr fontId="2" type="noConversion"/>
  </si>
  <si>
    <t>GIR501</t>
  </si>
  <si>
    <t>모기업이 인정회계기준에 따라 작성한 연결재무제표</t>
  </si>
  <si>
    <t>GIR502</t>
  </si>
  <si>
    <t>최종모기업의 인정회계기준 재무제표</t>
  </si>
  <si>
    <t>GIR503</t>
  </si>
  <si>
    <t>최종모기업이 인정회계기준이 아닌 경우, 중대왜곡방지조정을 반영한 재무제표</t>
  </si>
  <si>
    <t>GIR504</t>
  </si>
  <si>
    <t>그 외의 경우(재무제표 작성 의무 없는 경우, 인정회계기준 작성 또는 공인회계기준 작성 및 중대왜곡방지조정된 재무제</t>
  </si>
  <si>
    <t>① GIR201 – 다른 국가에 소재하는 저율과세구성기업에만 적용되는 적격소득산입규칙
② GIR202 – 다른 국가와 모기업 소재지국에 소재하는 저율과세구성기업 모두에 적용되는 적격소득산입규칙
③ GIR203 – 적격소득산입보완규칙
④ GIR204 – 적격소재국추가세제도
⑤ GIR205 – 해당사항 없음</t>
    <phoneticPr fontId="2" type="noConversion"/>
  </si>
  <si>
    <t>GIR201</t>
  </si>
  <si>
    <t>다른 국가에 소재하는 저율과세구성기업에만 적용되는 적격소득산입규칙</t>
  </si>
  <si>
    <t>GIR202</t>
  </si>
  <si>
    <t>다른 국가와 모기업 소재지국에 소재하는 저율과세구성기업 모두에 적용되는 적격소득산입규칙</t>
  </si>
  <si>
    <t>GIR203</t>
  </si>
  <si>
    <t>적격소득산입보완규칙</t>
  </si>
  <si>
    <t>GIR204</t>
  </si>
  <si>
    <t>적격소재국추가세제도</t>
  </si>
  <si>
    <t>GIR205</t>
  </si>
  <si>
    <t>해당사항 없음</t>
  </si>
  <si>
    <t>GIR301</t>
  </si>
  <si>
    <t>GIR302</t>
  </si>
  <si>
    <t>투과기업-투자과세기업</t>
  </si>
  <si>
    <t>GIR303</t>
  </si>
  <si>
    <t>투과기업-역혼성기업</t>
  </si>
  <si>
    <t>GIR304</t>
  </si>
  <si>
    <t>혼성기업</t>
  </si>
  <si>
    <t>GIR305</t>
  </si>
  <si>
    <t>고정사업장</t>
  </si>
  <si>
    <t>GIR306</t>
  </si>
  <si>
    <t>본점</t>
  </si>
  <si>
    <t>GIR307</t>
  </si>
  <si>
    <t>소수지분모기업</t>
  </si>
  <si>
    <t>GIR308</t>
  </si>
  <si>
    <t>소수지분자회사</t>
  </si>
  <si>
    <t>GIR309</t>
  </si>
  <si>
    <t>독립형 소수지분구성기업</t>
  </si>
  <si>
    <t>GIR310</t>
  </si>
  <si>
    <t>투자구성기업</t>
  </si>
  <si>
    <t>GIR311</t>
  </si>
  <si>
    <t>보험투자기업</t>
  </si>
  <si>
    <t>GIR312</t>
  </si>
  <si>
    <t>유동화회사</t>
  </si>
  <si>
    <t>GIR313</t>
  </si>
  <si>
    <t>공동기업</t>
  </si>
  <si>
    <t>GIR314</t>
  </si>
  <si>
    <t>공동기업 자회사</t>
  </si>
  <si>
    <t>GIR315</t>
  </si>
  <si>
    <t>중요성이 낮은 구성기업</t>
  </si>
  <si>
    <t>GIR316</t>
  </si>
  <si>
    <t>GIR317</t>
  </si>
  <si>
    <t>적격소득산입규칙을 적용하여야 하는 모기업</t>
  </si>
  <si>
    <t>GIR318</t>
  </si>
  <si>
    <t>그룹 외 기업</t>
  </si>
  <si>
    <t>① GIR601 – 정부기업
② GIR602 – 국제기구
③ GIR603 – 비영리기구
④ GIR604 – 연금펀드
⑤ GIR605 – 최종모기업인 투자펀드
⑥ GIR606 – 최종모기업인 부동산투자기구</t>
    <phoneticPr fontId="2" type="noConversion"/>
  </si>
  <si>
    <t>GIR601</t>
  </si>
  <si>
    <t>정부기업</t>
  </si>
  <si>
    <t>GIR602</t>
  </si>
  <si>
    <t>국제기구</t>
  </si>
  <si>
    <t>GIR603</t>
  </si>
  <si>
    <t>비영리기구</t>
  </si>
  <si>
    <t>GIR604</t>
  </si>
  <si>
    <t>연금펀드</t>
  </si>
  <si>
    <t>GIR605</t>
  </si>
  <si>
    <t>최종모기업인 투자펀드</t>
  </si>
  <si>
    <t>GIR606</t>
  </si>
  <si>
    <t>최종모기업인 부동산투자기구</t>
  </si>
  <si>
    <t>① GIR801 – 최종모기업
② GIR802 – 구성기업
③ GIR803 – 공동기업
④ GIR804 – 공동기업 자회사
⑤ GIR805 – 제외기업(전체)
⑥ GIR806 – 그룹 외 기업(전체)</t>
    <phoneticPr fontId="2" type="noConversion"/>
  </si>
  <si>
    <t>GIR801</t>
  </si>
  <si>
    <t>GIR802</t>
  </si>
  <si>
    <t>GIR803</t>
  </si>
  <si>
    <t>GIR804</t>
  </si>
  <si>
    <t>GIR805</t>
  </si>
  <si>
    <t>제외기업(전체)</t>
  </si>
  <si>
    <t>GIR806</t>
  </si>
  <si>
    <t>그룹 외 기업(전체)</t>
  </si>
  <si>
    <t>① GIR901 – 부분소유모기업
② GIR902 – 중간모기업
③ GIR903 – 적격소득산입규칙을 적용하여야 하는 모기업</t>
    <phoneticPr fontId="2" type="noConversion"/>
  </si>
  <si>
    <t>GIR901</t>
  </si>
  <si>
    <t>부분소유모기업</t>
  </si>
  <si>
    <t>GIR902</t>
  </si>
  <si>
    <t>중간모기업</t>
  </si>
  <si>
    <t>GIR903</t>
  </si>
  <si>
    <t>① GIR1001 – 정부기구
② GIR1002 – 국제기구
③ GIR1003 – 비영리기구
④ GIR1004 – 연금펀드
⑤ GIR1005 – 최종모기업인 투자펀드
⑥ GIR1006 – 최종모기업인 부동산투자기구
⑦ GIR1007 – 제외기업이 소유한 기업(제외기업 지분 95%)
⑧ GIR1008 – 제외기업이 소유한 기업(제외기업 지분 85%)</t>
    <phoneticPr fontId="2" type="noConversion"/>
  </si>
  <si>
    <t>GIR1001</t>
  </si>
  <si>
    <t>정부기구</t>
  </si>
  <si>
    <t>GIR1002</t>
  </si>
  <si>
    <t>GIR1003</t>
  </si>
  <si>
    <t>GIR1004</t>
  </si>
  <si>
    <t>GIR1005</t>
  </si>
  <si>
    <t>GIR1006</t>
  </si>
  <si>
    <t>GIR1007</t>
  </si>
  <si>
    <t>제외기업이 소유한 기업(제외기업 지분 95%)</t>
  </si>
  <si>
    <t>GIR1008</t>
  </si>
  <si>
    <t>제외기업이 소유한 기업(제외기업 지분 85%)</t>
  </si>
  <si>
    <t>GIR701</t>
  </si>
  <si>
    <t>GIR702</t>
  </si>
  <si>
    <t>투과기업 투자과세기업</t>
  </si>
  <si>
    <t>GIR703</t>
  </si>
  <si>
    <t>투과기업 역혼성기업</t>
  </si>
  <si>
    <t>GIR704</t>
  </si>
  <si>
    <t>GIR705</t>
  </si>
  <si>
    <t>GIR706</t>
  </si>
  <si>
    <t>GIR707</t>
  </si>
  <si>
    <t>GIR708</t>
  </si>
  <si>
    <t>GIR709</t>
  </si>
  <si>
    <t>(독립형) 소수지분구성기업</t>
  </si>
  <si>
    <t>GIR710</t>
  </si>
  <si>
    <t>GIR711</t>
  </si>
  <si>
    <t>GIR712</t>
  </si>
  <si>
    <t>GIR713</t>
  </si>
  <si>
    <t>GIR714</t>
  </si>
  <si>
    <t>GIR715</t>
  </si>
  <si>
    <t>GIR716</t>
  </si>
  <si>
    <t>부분모기업</t>
  </si>
  <si>
    <t>GIR717</t>
  </si>
  <si>
    <t>GIR718</t>
  </si>
  <si>
    <t>GIR719</t>
  </si>
  <si>
    <t>GIR720</t>
  </si>
  <si>
    <t>GIR721</t>
  </si>
  <si>
    <t>① GIR1101 – 구성기업
② GIR1102 – 소수지분하위그룹
③ GIR1103 – (독립형) 소수지분구성기업
④ GIR1104 – 투자기업
⑤ GIR1105 – 공동기업그룹
⑥ GIR1106 – 무국적 구성기업</t>
    <phoneticPr fontId="2" type="noConversion"/>
  </si>
  <si>
    <t>GIR1101</t>
  </si>
  <si>
    <t>GIR1102</t>
  </si>
  <si>
    <t>소수지분하위그룹</t>
  </si>
  <si>
    <t>GIR1103</t>
  </si>
  <si>
    <t>GIR1104</t>
  </si>
  <si>
    <t>투자기업</t>
  </si>
  <si>
    <t>GIR1105</t>
  </si>
  <si>
    <t>공동기업그룹</t>
  </si>
  <si>
    <t>GIR1106</t>
  </si>
  <si>
    <t>무국적 구성기업</t>
  </si>
  <si>
    <t>① GIR1201 – 최소적용제외 특례
② GIR1202 – 적격소재국추가세 적용면제
③ GIR1203 – 전환기 적용면제 – 소액 요건
④ GIR1204 – 전환기 적용면제 – 간이 실효세율 요건
⑤ GIR1205 – 전환기 적용면제 – 초과이익 요건
⑥ GIR1206 – 소득산입보완규칙 적용면제
⑦ GIR1207 – 일반적 적용면제 – 소액 요건
⑧ GIR1208 – 일반적 적용면제 – 간이 실효세율 요건
⑨ GIR1209 – 일반적 적용면제 – 초과이익 요건</t>
    <phoneticPr fontId="2" type="noConversion"/>
  </si>
  <si>
    <t>GIR1201</t>
  </si>
  <si>
    <t>최소적용제외 특례</t>
  </si>
  <si>
    <t>GIR1202</t>
  </si>
  <si>
    <t>적격소재국추가세 적용면제</t>
  </si>
  <si>
    <t>GIR1203</t>
  </si>
  <si>
    <t>전환기 적용면제 – 소액 요건</t>
  </si>
  <si>
    <t>GIR1204</t>
  </si>
  <si>
    <t>전환기 적용면제 – 간이 실효세율 요건</t>
  </si>
  <si>
    <t>GIR1205</t>
  </si>
  <si>
    <t>전환기 적용면제 – 초과이익 요건</t>
  </si>
  <si>
    <t>GIR1206</t>
  </si>
  <si>
    <t>소득산입보완규칙 적용면제</t>
  </si>
  <si>
    <t>GIR1207</t>
  </si>
  <si>
    <t>일반적 적용면제 – 소액 요건</t>
  </si>
  <si>
    <t>GIR1208</t>
  </si>
  <si>
    <t>일반적 적용면제 – 간이 실효세율 요건</t>
  </si>
  <si>
    <t>GIR1209</t>
  </si>
  <si>
    <t>일반적 적용면제 – 초과이익 요건</t>
  </si>
  <si>
    <t>① GIR1301 – 2.5% 미만
② GIR1302 – 2.5% 이상 5% 미만
③ GIR1303 – 5% 이상 7.5% 미만
④ GIR1304 – 7.5% 이상 10% 미만
⑤ GIR1305 – 10% 이상 12.5% 미만
⑥ GIR1306 – 12.5% 이상 15% 미만
⑦ GIR1307 – 15% 이상 17.5% 미만
⑧ GIR1308 – 17.5% 이상 20% 미만
⑨ GIR1309 – 20% 이상 22.5% 미만
⑩ GIR1310 – 22.5% 이상 25% 미만
⑪ GIR1311 – 25% 이상 27.5% 미만
⑫ GIR1312 – 27.5% 이상 30% 미만
⑬ GIR1313 – 30% 이상
⑭ GIR1314 – 3.2섹션 작성되지 않음</t>
    <phoneticPr fontId="2" type="noConversion"/>
  </si>
  <si>
    <t>GIR1301</t>
  </si>
  <si>
    <t>2.5% 미만</t>
  </si>
  <si>
    <t>GIR1302</t>
  </si>
  <si>
    <t>2.5% 이상 5% 미만</t>
  </si>
  <si>
    <t>GIR1303</t>
  </si>
  <si>
    <t>5% 이상 7.5% 미만</t>
  </si>
  <si>
    <t>GIR1304</t>
  </si>
  <si>
    <t>7.5% 이상 10% 미만</t>
  </si>
  <si>
    <t>GIR1305</t>
  </si>
  <si>
    <t>10% 이상 12.5% 미만</t>
  </si>
  <si>
    <t>GIR1306</t>
  </si>
  <si>
    <t>12.5% 이상 15% 미만</t>
  </si>
  <si>
    <t>GIR1307</t>
  </si>
  <si>
    <t>15% 이상 17.5% 미만</t>
  </si>
  <si>
    <t>GIR1308</t>
  </si>
  <si>
    <t>17.5% 이상 20% 미만</t>
  </si>
  <si>
    <t>GIR1309</t>
  </si>
  <si>
    <t>20% 이상 22.5% 미만</t>
  </si>
  <si>
    <t>GIR1310</t>
  </si>
  <si>
    <t>22.5% 이상 25% 미만</t>
  </si>
  <si>
    <t>GIR1311</t>
  </si>
  <si>
    <t>25% 이상 27.5% 미만</t>
  </si>
  <si>
    <t>GIR1312</t>
  </si>
  <si>
    <t>27.5% 이상 30% 미만</t>
  </si>
  <si>
    <t>GIR1313</t>
  </si>
  <si>
    <t>30% 이상</t>
  </si>
  <si>
    <t>GIR1314</t>
  </si>
  <si>
    <t>3.2섹션 작성되지 않음</t>
  </si>
  <si>
    <t>① GIR1401 – 추가세액 없음
② GIR1402 – 1백만 유로 미만
③ GIR1403 – 1백만 유로 이상 5백만 유로 미만
④ GIR1404 – 5백만 유로 이상 25백만 유로 미만
⑤ GIR1405 – 25백만 유로 이상 50백만 유로 미만
⑥ GIR1406 – 50백만 유로 이상 75백만 유로 미만
⑦ GIR1407 – 75백만 유로 이상 100백만 유로 미만
⑧ GIR1408 – 100백만 유로 이상 250백만 유로 미만
⑨ GIR1409 – 250백만 유로 이상</t>
    <phoneticPr fontId="2" type="noConversion"/>
  </si>
  <si>
    <t>GIR1401</t>
  </si>
  <si>
    <t>추가세액 없음</t>
  </si>
  <si>
    <t>GIR1402</t>
  </si>
  <si>
    <t>1백만 유로 미만</t>
  </si>
  <si>
    <t>GIR1403</t>
  </si>
  <si>
    <t>1백만 유로 이상 5백만 유로 미만</t>
  </si>
  <si>
    <t>GIR1404</t>
  </si>
  <si>
    <t>5백만 유로 이상 25백만 유로 미만</t>
  </si>
  <si>
    <t>GIR1405</t>
  </si>
  <si>
    <t>25백만 유로 이상 50백만 유로 미만</t>
  </si>
  <si>
    <t>GIR1406</t>
  </si>
  <si>
    <t>50백만 유로 이상 75백만 유로 미만</t>
  </si>
  <si>
    <t>GIR1407</t>
  </si>
  <si>
    <t>75백만 유로 이상 100백만 유로 미만</t>
  </si>
  <si>
    <t>GIR1408</t>
  </si>
  <si>
    <t>100백만 유로 이상 250백만 유로 미만</t>
  </si>
  <si>
    <t>GIR1409</t>
  </si>
  <si>
    <t>250백만 유로 이상</t>
  </si>
  <si>
    <t>① GIR1501 – 추가세액 없음
② GIR1502 – 1백만 유로 미만
③ GIR1503 – 1백만 유로 이상 5백만 유로 미만
④ GIR1504 – 5백만 유로 이상 25백만 유로 미만
⑤ GIR1505 – 25백만 유로 이상 50백만 유로 미만
⑥ GIR1506 – 50백만 유로 이상 75백만 유로 미만
⑦ GIR1507 – 75백만 유로 이상 100백만 유로 미만
⑧ GIR1508 – 100백만 유로 이상 250백만 유로 미만
⑨ GIR1509 – 250백만 유로 이상</t>
    <phoneticPr fontId="2" type="noConversion"/>
  </si>
  <si>
    <t>GIR1501</t>
  </si>
  <si>
    <t>GIR1502</t>
  </si>
  <si>
    <t>GIR1503</t>
  </si>
  <si>
    <t>GIR1504</t>
  </si>
  <si>
    <t>GIR1505</t>
  </si>
  <si>
    <t>GIR1506</t>
  </si>
  <si>
    <t>GIR1507</t>
  </si>
  <si>
    <t>GIR1508</t>
  </si>
  <si>
    <t>GIR1509</t>
  </si>
  <si>
    <t>① GIR1601 – 구성기업
② GIR1602 – 소수지분하위그룹
③ GIR1603 – (독립형) 소수지분구성기업
④ GIR1604 – 투자구성기업
⑤ GIR1605 – 공동기업그룹
⑥ GIR1606 – 무국적 구성기업
⑦ GIR1607 – 전환기 적용면제–구성기업
⑧ GIR1608 – 전환기 적용면제–공동기업그룹(특정하여 명시할 것)
⑨ GIR1609 – 소득산입보완규칙 적용면제</t>
    <phoneticPr fontId="2" type="noConversion"/>
  </si>
  <si>
    <t>GIR1601</t>
  </si>
  <si>
    <t>GIR1602</t>
  </si>
  <si>
    <t>GIR1603</t>
  </si>
  <si>
    <t>GIR1604</t>
  </si>
  <si>
    <t>GIR1605</t>
  </si>
  <si>
    <t>GIR1606</t>
  </si>
  <si>
    <t>GIR1607</t>
  </si>
  <si>
    <t>전환기 적용면제–구성기업</t>
  </si>
  <si>
    <t>GIR1608</t>
  </si>
  <si>
    <t>전환기 적용면제–공동기업그룹(특정하여 명시할 것)</t>
  </si>
  <si>
    <t>GIR1609</t>
  </si>
  <si>
    <t>①-GIR2601-국조칙 별표 제10호(총자산처분이익의 조정)
②-GIR2602-국조법 제67조(조정대상조세의 계산) 제3항 이연법인세부채를 계상한 날부터 5년이 지난 날이 속하는 사업연도의 종료일까지 해당 이연법인세부채와 관련된 법인세를 납부하지 아니하는 경우
③-GIR2603-국조법 제68조(신고 후 조정 및 세율변경) 제1항 신고 후 감액 경정
④-GIR2604-국조법 제68조(신고 후 조정 및 세율변경) 제4항 당기법인세비용 계상 후 3년 이내 납부하지 아니하는 경우
⑤-GIR2605-국조법 제78조(적격분배과세제도에 대한 특례) 제2항 간주분배세액환입계정이 설정된 날이 속하는 사업연도 개시일부터 그 후 네 번째 사업연도 종료일까지 가산한 간주분배세액에 상응하는 금액이 실제로 과세되지 아니한 경우
⑥-GIR2606-국조칙 제83조(간주분배세액환입계정의 운용방법 등) 제2항 및 제3항 적격분배과세제도 특례 적용 구성기업의 이탈 등의 경우 간주분배세액환입계정잔액</t>
    <phoneticPr fontId="2" type="noConversion"/>
  </si>
  <si>
    <t>GIR2601</t>
  </si>
  <si>
    <t>국조칙 별표 제10호(총자산처분이익의 조정)</t>
  </si>
  <si>
    <t>GIR2602</t>
  </si>
  <si>
    <t>국조법 제67조(조정대상조세의 계산) 제3항 이연법인세부채를 계상한 날부터 5년이 지난 날이 속하는 사업연도의 종료일까지 해당 이연법인세부채와 관련된 법인세를 납부하지 아니하는 경우</t>
  </si>
  <si>
    <t>GIR2603</t>
  </si>
  <si>
    <t>국조법 제68조(신고 후 조정 및 세율변경) 제1항 신고 후 감액 경정</t>
  </si>
  <si>
    <t>GIR2604</t>
  </si>
  <si>
    <t>국조법 제68조(신고 후 조정 및 세율변경) 제4항 당기법인세비용 계상 후 3년 이내 납부하지 아니하는 경우</t>
  </si>
  <si>
    <t>GIR2605</t>
  </si>
  <si>
    <t>국조법 제78조(적격분배과세제도에 대한 특례) 제2항 간주분배세액환입계정이 설정된 날이 속하는 사업연도 개시일부터 그 후 네 번째 사업연도 종료일까지 가산한 간주분배세액에 상응하는 금액이 실제로 과세되지 아니한 경우</t>
  </si>
  <si>
    <t>GIR2606</t>
  </si>
  <si>
    <t>국조칙 제83조(간주분배세액환입계정의 운용방법 등) 제2항 및 제3항 적격분배과세제도 특례 적용 구성기업의 이탈 등의 경우 간주분배세액환입계정잔액</t>
  </si>
  <si>
    <t>① GIR1701 – 국조법 제66조(글로벌최저한세소득·결손의 계산) 제4항 및 제5항, 국조령 제107조(고정사업장의 회계상 순손익의 계산) 고정사업장에 대한 회계상 순손익 귀속 방법
② GIR1702 – 국조법 제66조(글로벌최저한세소득·결손의 계산) 제6항, 국조령 제108조(투과기업의 회계상 순손익의 배분) 제3항 그룹 외 기업이 투과기업의 소유지분을 보유하는 경우 배분 제외
③ GIR1703 – 국조법 제66조(글로벌최저한세소득·결손의 계산) 제6항, 국조령 제108조(투과기업의 회계상 순손익의 배분) 제1항 투과기업의 회계상 순손익을 사업이 수행되는 고정사업장에 배분
④ GIR1704 – 국조법 제66조(글로벌최저한세소득·결손의 계산) 제6항, 국조령 제108조(투과기업의 회계상 순손익의 배분) 제1항 제2호 및 제3호 투과기업이 투시과세기업으로서 최종모기업이 아닌 경우, 투과기업의 회계상 순손익을 적격지분보유자가 보유하는 소유지분에 따라 적격지분보유자에게 배분</t>
    <phoneticPr fontId="2" type="noConversion"/>
  </si>
  <si>
    <t>GIR1701</t>
  </si>
  <si>
    <t>국조법 제66조(글로벌최저한세소득·결손의 계산) 제4항 및 제5항, 국조령 제107조(고정사업장의 회계상 순손익의 계산) 고정사업장에 대한 회계상 순손익 귀속 방법</t>
  </si>
  <si>
    <t>GIR1702</t>
  </si>
  <si>
    <t>국조법 제66조(글로벌최저한세소득·결손의 계산) 제6항, 국조령 제108조(투과기업의 회계상 순손익의 배분) 제3항 그룹 외 기업이 투과기업의 소유지분을 보유하는 경우 배분 제외</t>
  </si>
  <si>
    <t>GIR1703</t>
  </si>
  <si>
    <t>국조법 제66조(글로벌최저한세소득·결손의 계산) 제6항, 국조령 제108조(투과기업의 회계상 순손익의 배분) 제1항 투과기업의 회계상 순손익을 사업이 수행되는 고정사업장에 배분</t>
  </si>
  <si>
    <t>GIR1704</t>
  </si>
  <si>
    <t>국조법 제66조(글로벌최저한세소득·결손의 계산) 제6항, 국조령 제108조(투과기업의 회계상 순손익의 배분) 제1항 제2호 및 제3호 투과기업이 투시과세기업으로서 최종모기업이 아닌 경우, 투과기업의 회계상 순손익을 적격지분보유자가 보유하는 소유지분에 따라 적격지분보유자에게 배분</t>
  </si>
  <si>
    <t>① GIR1801 – 국조칙 별표 제17호 (정상가격 및 동일가격 원칙의 적용에 따른 조정)
② GIR1802 – 국조칙 별표 제9호 (그룹내부금융약정비용의 조정)</t>
    <phoneticPr fontId="2" type="noConversion"/>
  </si>
  <si>
    <t>GIR1801</t>
  </si>
  <si>
    <t>국조칙 별표 제17호 (정상가격 및 동일가격 원칙의 적용에 따른 조정)</t>
  </si>
  <si>
    <t>GIR1802</t>
  </si>
  <si>
    <t>국조칙 별표 제9호 (그룹내부금융약정비용의 조정)</t>
  </si>
  <si>
    <t>①-GIR1901- 국조법 제77조의2(배당공제제도 등에 대한 특례) 제2항 제1호, 국조령 제133조(투과기업인 최종모기업에 대한 특례) 제1항 제1호 가목 투과기업인 최종모기업의 해당 사업연도 종료일의 다음 날부터 12개월 이내에 종료하는 과세기간에 그 소유지분에 귀속되는 글로벌최저한세소득금액이 그 소유지분의 보유자에게 귀속된 금액으로 보면, 귀속소득금액 전액에 대해 최저한세율 이상의 명목세율로 과세되는 경우
②-GIR1902- 국조법 제77조의2(배당공제제도 등에 대한 특례) 제2항 제1호, 국조령 제133조(투과기업인 최종모기업에 대한 특례) 제1항 제1호 나목 투과기업인 최종모기업의 해당 사업연도 종료일의 다음 날부터 12개월 이내에 종료하는 과세기간에 그 소유지분에 귀속되는 글로벌최저한세소득금액이 그 소유지분의 보유자에게 귀속된 금액으로 보면, 귀속소득금액에 대한 해당 투과기업의 조정대상조세 금액과 그 소유지분 보유자에게 과세되는 세액의 합계액이 해당 귀속소득금액 전액에 최저한세율을 곱하여 계산한 금액 이상이 될 것으로 합리적으로 예상되는 경우에 해당하는 경우
③-GIR1903- 국조법 제77조의2(배당공제제도 등에 대한 특례) 제2항 제1호, 국조령 제133조(투과기업인 최종모기업에 대한 특례) 제1항 제2호 최저한세율 이상으로 과세되는 요건을 모두 갖춘 자연인
④-GIR1904- 국조법 제77조의2(배당공제제도 등에 대한 특례) 제2항 제1호, 국조령 제133조(투과기업인 최종모기업에 대한 특례) 제1항 제3호 최저한세율 이상으로 과세되는 요건을 모두 갖춘 국조령 제102조제1항제1호의 정부기업, 같은 항 제2호의 국제기구, 같은 항 제3호의 비영리기구 또는 같은 항 제4호의 연금펀드
⑤-GIR1905- 법 제77조의2(배당공제제도 등에 대한 특례) 제2항 제1호, 영 제132조(투과기업인 최종모기업에 대한 특례) 제1항 제1호 가목 1) 다국적기업그룹의 글로벌최저한세소득이 발생한 사업연도 종료일의 다음 날부터 12개월 이내에 종료하는 과세기간에 다음에 해당하는 배당수취인에게 분배되는 금액 전액에 대해 최저한세율 이상의 명목세율로 과세되는 경우
⑥-GIR1906- 국조법 제77조의2(배당공제제도 등에 대한 특례) 제2항 제1호, 국조령 제132조(투과기업인 최종모기업에 대한 특례) 제1항 제1호 가목 2) 다국적기업그룹의 글로벌최저한세소득이 발생한 사업연도 종료일의 다음 날부터 12개월 이내에 종료하는 과세기간에 다음에 해당하는 배당수취인에게 분배되는 금액(이하, 귀속분배금액)의 원천이 되는 소득에 대한 최종모기업의 조정대상조세 금액과 해당 귀속분배금액에 대해 그 배당수취인에게 과세되는 세액의 합계액이 해당 귀속분배금액 전액에 최저한세율을 곱하여 계산되는 금액 이상이 될 것으로 합리적으로 예상되는 경우
⑦-GIR1907- 국조법 제77조의2(배당공제제도 등에 대한 특례) 제2항 제1호, 국조령 제132조(투과기업인 최종모기업에 대한 특례) 제1항 제1호 가목 3) 배당수취인이 자연인이고 해당 귀속분배금액이 협동조합(협동조합으로서 제3자로부터 재화 또는 용역을 구매하여 조합원에 공급하는 협동조합으로 한정한다)으로부터 받는 이용고배당인 경우
⑧-GIR1908- 국조법 제77조의2(배당공제제도 등에 대한 특례) 제2항 제1호 국조령 제132조(투과기업인 최종모기업에 대한 특례) 제1항 제1호 나목 최종모기업이 주주, 사원 또는 출자자에게 이익을 분배할 때 해당 최종모기업 소재지국의 세법에 따라 해당 최종모기업의 과세소득에서 공제되는 이 이익의 분배액으로서 요건을 모두 갖춘 자연인에게 분배되는 배당액을 의미합니다.
⑨-GIR1909- 국조법 제77조의2(배당공제제도 등에 대한 특례) 제2항 제1호, 국조령 제132조(투과기업인 최종모기업에 대한 특례) 제1항 제1호 다목 배당수취인이 최종모기업의 소재지국에서 설립·운영되는 정부기업, 국제기구, 비영리기구 또는 연금펀드
⑩-GIR1910- 국조령 제132조(투과기업인 최종모기업에 대한 특례) 제3항 배당공제제도를 적용 받는 구성기업의 대상조세 및 글로벌최저한세소득은 각각 아래의 ①×② 산출한 금액을 차감하여 계산한 금액 ① 해당 구성기업의 대상조세 ② 국조법 제77조의2제1항 및 국조령 제132조 제1항에 따라 차감되는 배당액을 해당 구성기업의 글로벌최저한세소득 금액에서 국조령 제104조제1항제1호에 따른 순조세비용 (미분배소득 또는 자본·유보 소득에 대한 세금을 제외한 금액)을 차감한 금액으로 나눈 비율
⑪-GIR1999- 국조법 제77조의2(배당공제제도 등에 대한 특례) 제2항 2호 다국적기업그룹의 최종모기업이 투과기업인 경우 그 투과기업의 각 사업연도 글로벌최저한세소득·결손은 다음 금액을 차감하여 계산 (각 사업연도의 글로벌최저한세결손: 해당 투과기업의 각 소유지분에 귀속되는 글로벌최저한세결손 금액 중 그 소유지분을 보유한 자가 과세소득을 산정할 때 해당 글로벌최저한세결손 금액을 공제할 수 있는 경우 해당 금액)</t>
    <phoneticPr fontId="2" type="noConversion"/>
  </si>
  <si>
    <t>GIR1901</t>
  </si>
  <si>
    <t>국조법 제77조의2(배당공제제도 등에 대한 특례) 제2항 제1호, 국조령 제133조(투과기업인 최종모기업에 대한 특례) 제1항 제1호 가목 투과기업인 최종모기업의 해당 사업연도 종료일의 다음 날부터 12개월 이내에 종료하는 과세기간에 그 소유지분에 귀속되는 글로벌최저한세소득금액이 그 소유지분의 보유자에게 귀속된 금액으로 보면, 귀속소득금액 전액에 대해 최저한세율 이상의 명목세율로 과세되는 경우</t>
  </si>
  <si>
    <t>GIR1902</t>
  </si>
  <si>
    <t>국조법 제77조의2(배당공제제도 등에 대한 특례) 제2항 제1호, 국조령 제133조(투과기업인 최종모기업에 대한 특례) 제1항 제1호 나목 투과기업인 최종모기업의 해당 사업연도 종료일의 다음 날부터 12개월 이내에 종료하는 과세기간에 그 소유지분에 귀속되는 글로벌최저한세소득금액이 그 소유지분의 보유자에게 귀속된 금액으로 보면, 귀속소득금액에 대한 해당 투과기업의 조정대상조세 금액과 그 소유지분 보유자에게 과세되는 세액의 합계액이 해당 귀속소득금액 전액에 최저한세율을 곱하여 계산한 금액 이상이 될 것으로 합리적으로 예상되는 경우에 해당하는 경우</t>
  </si>
  <si>
    <t>GIR1903</t>
  </si>
  <si>
    <t>국조법 제77조의2(배당공제제도 등에 대한 특례) 제2항 제1호, 국조령 제133조(투과기업인 최종모기업에 대한 특례) 제1항 제2호 최저한세율 이상으로 과세되는 요건을 모두 갖춘 자연인</t>
  </si>
  <si>
    <t>GIR1904</t>
  </si>
  <si>
    <t>국조법 제77조의2(배당공제제도 등에 대한 특례) 제2항 제1호, 국조령 제133조(투과기업인 최종모기업에 대한 특례) 제1항 제3호 최저한세율 이상으로 과세되는 요건을 모두 갖춘 국조령 제102조제1항제1호의 정부기업, 같은 항 제2호의 국제기구, 같은 항 제3호의 비영리기구 또는 같은 항 제4호의 연금펀드</t>
  </si>
  <si>
    <t>GIR1905</t>
  </si>
  <si>
    <t>법 제77조의2(배당공제제도 등에 대한 특례) 제2항 제1호, 영 제132조(투과기업인 최종모기업에 대한 특례) 제1항 제1호 가목 1) 다국적기업그룹의 글로벌최저한세소득이 발생한 사업연도 종료일의 다음 날부터 12개월 이내에 종료하는 과세기간에 다음에 해당하는 배당수취인에게 분배되는 금액 전액에 대해 최저한세율 이상의 명목세율로 과세되는 경우</t>
  </si>
  <si>
    <t>GIR1906</t>
  </si>
  <si>
    <t>국조법 제77조의2(배당공제제도 등에 대한 특례) 제2항 제1호, 국조령 제132조(투과기업인 최종모기업에 대한 특례) 제1항 제1호 가목 2) 다국적기업그룹의 글로벌최저한세소득이 발생한 사업연도 종료일의 다음 날부터 12개월 이내에 종료하는 과세기간에 다음에 해당하는 배당수취인에게 분배되는 금액(이하, 귀속분배금액)의 원천이 되는 소득에 대한 최종모기업의 조정대상조세 금액과 해당 귀속분배금액에 대해 그 배당수취인에게 과세되는 세액의 합계액이 해당 귀속분배금액 전액에 최저한세율을 곱하여 계산되는 금액 이상이 될 것으로 합리적으로 예상되는 경우</t>
  </si>
  <si>
    <t>GIR1907</t>
  </si>
  <si>
    <t>국조법 제77조의2(배당공제제도 등에 대한 특례) 제2항 제1호, 국조령 제132조(투과기업인 최종모기업에 대한 특례) 제1항 제1호 가목 3) 배당수취인이 자연인이고 해당 귀속분배금액이 협동조합(협동조합으로서 제3자로부터 재화 또는 용역을 구매하여 조합원에 공급하는 협동조합으로 한정한다)으로부터 받는 이용고배당인 경우</t>
  </si>
  <si>
    <t>GIR1908</t>
  </si>
  <si>
    <t>국조법 제77조의2(배당공제제도 등에 대한 특례) 제2항 제1호 국조령 제132조(투과기업인 최종모기업에 대한 특례) 제1항 제1호 나목 최종모기업이 주주, 사원 또는 출자자에게 이익을 분배할 때 해당 최종모기업 소재지국의 세법에 따라 해당 최종모기업의 과세소득에서 공제되는 이 이익의 분배액으로서 요건을 모두 갖춘 자연인에게 분배되는 배당액을 의미합니다.</t>
  </si>
  <si>
    <t>GIR1909</t>
  </si>
  <si>
    <t>국조법 제77조의2(배당공제제도 등에 대한 특례) 제2항 제1호, 국조령 제132조(투과기업인 최종모기업에 대한 특례) 제1항 제1호 다목 배당수취인이 최종모기업의 소재지국에서 설립·운영되는 정부기업, 국제기구, 비영리기구 또는 연금펀드</t>
  </si>
  <si>
    <t>GIR1910</t>
  </si>
  <si>
    <t>국조령 제132조(투과기업인 최종모기업에 대한 특례) 제3항 배당공제제도를 적용 받는 구성기업의 대상조세 및 글로벌최저한세소득은 각각 아래의 ①×② 산출한 금액을 차감하여 계산한 금액 ① 해당 구성기업의 대상조세 ② 국조법 제77조의2제1항 및 국조령 제132조 제1항에 따라 차감되는 배당액을 해당 구성기업의 글로벌최저한세소득 금액에서 국조령 제104조제1항제1호에 따른 순조세비용 (미분배소득 또는 자본·유보 소득에 대한 세금을 제외한 금액)을 차감한 금액으로 나눈 비율</t>
  </si>
  <si>
    <t>GIR1999</t>
  </si>
  <si>
    <t>국조법 제77조의2(배당공제제도 등에 대한 특례) 제2항 2호 다국적기업그룹의 최종모기업이 투과기업인 경우 그 투과기업의 각 사업연도 글로벌최저한세소득·결손은 다음 금액을 차감하여 계산 (각 사업연도의 글로벌최저한세결손: 해당 투과기업의 각 소유지분에 귀속되는 글로벌최저한세결손 금액 중 그 소유지분을 보유한 자가 과세소득을 산정할 때 해당 글로벌최저한세결손 금액을 공제할 수 있는 경우 해당 금액)</t>
  </si>
  <si>
    <t>①-GIR2301-국조령 제111조(구성기업 간 대상조세의 배분) 제1항 제1호 본점인 구성기업의 회계상 계상된 대상조세로서 고정사업장의 글로벌최저한세소득·결손에 귀속되는 것: 해당 고정사업장에 배분
②-GIR2302-국조령 제111조(구성기업 간 대상조세의 배분) 제1항 제2호 투과기업의 회계상 계상된 대상조세 또는 피지배외국법인인 투과기업에 배분된 대상조세로서 적격지분보유자에게 귀속되는 글로벌최저한세소득·결손에 대응되는 것: 해당 적격지분보유자에게 배분
③-GIR2303-국조령 제111조(구성기업 간 대상조세의 배분) 제1항 제5호 가목 피지배외국법인과세제도의 적용에 따라 적격지분보유자가 납부하는 대상조세: 해당 대상조세에 대응되는 소득을 얻은 피지배외국법인에 배분
④-GIR2304-국조령 제111조(구성기업 간 대상조세의 배분) 제1항 제3호 혼성기업이 얻은 소득에 대한 대상조세로서 그 주주구성기업의 회계상 계상된 것: 해당 혼성기업에 배분
⑤-GIR2305-국조령 제111조(구성기업 간 대상조세의 배분) 제1항 제4호 사업연도 중에 구성기업으로부터 받는 배당(주주구성기업 소재지국 세법상 배당으로 간주되는 것을 포함)에 대한 대상조세로서 해당 구성기업의 소유지분을 직접 보유한 주주구성기업의 회계상 계상된 것: 해당 배당을 지급하는 구성기업에 배분
⑥-GIR2306-국조칙 제70조(수동소득 대상조세 배분 등) 제1항 A값 A: 수동소득에 대해 주주구성기업이 납부하는 대상조세를 해당 구성기업의 대상조세에 산입하지 않고 계산하는 해당 구성기업 소재국의 국조법 제70조 제2항에 따른 추가세액비율
⑦-GIR2307-국조칙 제70조(수동소득 대상조세 배분 등) 제1항 B값 B: 해당 구성기업의 수동소득 중 주주구성기업의 과세대상 소득에 포함되는 금액
⑧-GIR2308-국조령 제111조(구성기업 간 대상조세의 배분) 제1항 제6호 고정사업장의 글로벌최저한세소득·결손이 해당 고정사업장 본점의 글로벌최저한세소득·결손에 포함되는 경우 해당 고정사업장이 그 소득과 관련하여 해당 고정사업장의 소재지국에 납부하는 대상조세는 해당 고정사업장 본점에 배분(이때 고정사업장 본점에 배분하는 대상조세는 해당 고정사업장의 소득금액에 대해 본점의 소재지국에서 일반적 소득에 대해 적용하는 법인세 최고세율을 곱한 금액을 한도로 함)
⑨-GIR2309-국조령 제111조(구성기업 간 대상조세의 배분) 제1항 제5호 나목 통합형피지배외국법인과세제도의 적용에 따라 적격지분보유자가 납부하는 대상조세: 해당 대상조세에 대응되는 소득을 얻은 피지배외국법인에 배분</t>
    <phoneticPr fontId="2" type="noConversion"/>
  </si>
  <si>
    <t>GIR2301</t>
  </si>
  <si>
    <t>국조령 제111조(구성기업 간 대상조세의 배분) 제1항 제1호 본점인 구성기업의 회계상 계상된 대상조세로서 고정사업장의 글로벌최저한세소득·결손에 귀속되는 것: 해당 고정사업장에 배분</t>
  </si>
  <si>
    <t>GIR2302</t>
  </si>
  <si>
    <t>국조령 제111조(구성기업 간 대상조세의 배분) 제1항 제2호 투과기업의 회계상 계상된 대상조세 또는 피지배외국법인인 투과기업에 배분된 대상조세로서 적격지분보유자에게 귀속되는 글로벌최저한세소득·결손에 대응되는 것: 해당 적격지분보유자에게 배분</t>
  </si>
  <si>
    <t>GIR2303</t>
  </si>
  <si>
    <t>국조령 제111조(구성기업 간 대상조세의 배분) 제1항 제5호 가목 피지배외국법인과세제도의 적용에 따라 적격지분보유자가 납부하는 대상조세: 해당 대상조세에 대응되는 소득을 얻은 피지배외국법인에 배분</t>
  </si>
  <si>
    <t>GIR2304</t>
  </si>
  <si>
    <t>국조령 제111조(구성기업 간 대상조세의 배분) 제1항 제3호 혼성기업이 얻은 소득에 대한 대상조세로서 그 주주구성기업의 회계상 계상된 것: 해당 혼성기업에 배분</t>
  </si>
  <si>
    <t>GIR2305</t>
  </si>
  <si>
    <t>국조령 제111조(구성기업 간 대상조세의 배분) 제1항 제4호 사업연도 중에 구성기업으로부터 받는 배당(주주구성기업 소재지국 세법상 배당으로 간주되는 것을 포함)에 대한 대상조세로서 해당 구성기업의 소유지분을 직접 보유한 주주구성기업의 회계상 계상된 것: 해당 배당을 지급하는 구성기업에 배분</t>
  </si>
  <si>
    <t>GIR2306</t>
  </si>
  <si>
    <t>국조칙 제70조(수동소득 대상조세 배분 등) 제1항 A값 A: 수동소득에 대해 주주구성기업이 납부하는 대상조세를 해당 구성기업의 대상조세에 산입하지 않고 계산하는 해당 구성기업 소재국의 국조법 제70조 제2항에 따른 추가세액비율</t>
  </si>
  <si>
    <t>GIR2307</t>
  </si>
  <si>
    <t>국조칙 제70조(수동소득 대상조세 배분 등) 제1항 B값 B: 해당 구성기업의 수동소득 중 주주구성기업의 과세대상 소득에 포함되는 금액</t>
  </si>
  <si>
    <t>GIR2308</t>
  </si>
  <si>
    <t>국조령 제111조(구성기업 간 대상조세의 배분) 제1항 제6호 고정사업장의 글로벌최저한세소득·결손이 해당 고정사업장 본점의 글로벌최저한세소득·결손에 포함되는 경우 해당 고정사업장이 그 소득과 관련하여 해당 고정사업장의 소재지국에 납부하는 대상조세는 해당 고정사업장 본점에 배분(이때 고정사업장 본점에 배분하는 대상조세는 해당 고정사업장의 소득금액에 대해 본점의 소재지국에서 일반적 소득에 대해 적용하는 법인세 최고세율을 곱한 금액을 한도로 함)</t>
  </si>
  <si>
    <t>GIR2309</t>
  </si>
  <si>
    <t>국조령 제111조(구성기업 간 대상조세의 배분) 제1항 제5호 나목 통합형피지배외국법인과세제도의 적용에 따라 적격지분보유자가 납부하는 대상조세: 해당 대상조세에 대응되는 소득을 얻은 피지배외국법인에 배분</t>
  </si>
  <si>
    <t>①-GIR2101-국조령 제106조(글로벌최저한세소득·결손의 계산에서 제외되는 국제해운소득·결손 등의 범위) 제1항 제1호 구성기업이 소유 또는 임차하거나 처분 권한을 가지고 있는 국제항행 선박을 통한 운송활동
②-GIR2102-국조령 제106조(글로벌최저한세소득·결손의 계산에서 제외되는 국제해운소득·결손 등의 범위) 제1항 제2호 일부용선 계약에 따른 국제항행 선박의 운송활동
③-GIR2103-국조령 제106조(글로벌최저한세소득·결손의 계산에서 제외되는 국제해운소득·결손 등의 범위) 제1항 제3호 국제항행 운송활동에 사용될 선박(선박장비, 선원 및 선용품을 포함한다)의 임대
④-GIR2104-국조령 제106조(글로벌최저한세소득·결손의 계산에서 제외되는 국제해운소득·결손 등의 범위) 제1항 제4호 다른 구성기업에 대해 국제항행 운송활동에 사용될 선박을 나용선으로 임대
⑤-GIR2105-국조령 제106조(글로벌최저한세소득·결손의 계산에서 제외되는 국제해운소득·결손 등의 범위) 제1항 제5호 국제항행 선박의 운송활동을 위한 공동운항, 공동사업 또는 국제해운기구에의 참여
⑥-GIR2106-국조령 제106조(글로벌최저한세소득·결손의 계산에서 제외되는 국제해운소득·결손 등의 범위) 제1항 제6호 국제항행 운송활동에 사용된 선박으로서 구성기업이 1년 이상 보유한 선박의 매각</t>
    <phoneticPr fontId="2" type="noConversion"/>
  </si>
  <si>
    <t>GIR2101</t>
  </si>
  <si>
    <t>국조령 제106조(글로벌최저한세소득·결손의 계산에서 제외되는 국제해운소득·결손 등의 범위) 제1항 제1호 구성기업이 소유 또는 임차하거나 처분 권한을 가지고 있는 국제항행 선박을 통한 운송활동</t>
  </si>
  <si>
    <t>GIR2102</t>
  </si>
  <si>
    <t>국조령 제106조(글로벌최저한세소득·결손의 계산에서 제외되는 국제해운소득·결손 등의 범위) 제1항 제2호 일부용선 계약에 따른 국제항행 선박의 운송활동</t>
  </si>
  <si>
    <t>GIR2103</t>
  </si>
  <si>
    <t>국조령 제106조(글로벌최저한세소득·결손의 계산에서 제외되는 국제해운소득·결손 등의 범위) 제1항 제3호 국제항행 운송활동에 사용될 선박(선박장비, 선원 및 선용품을 포함한다)의 임대</t>
  </si>
  <si>
    <t>GIR2104</t>
  </si>
  <si>
    <t>국조령 제106조(글로벌최저한세소득·결손의 계산에서 제외되는 국제해운소득·결손 등의 범위) 제1항 제4호 다른 구성기업에 대해 국제항행 운송활동에 사용될 선박을 나용선으로 임대</t>
  </si>
  <si>
    <t>GIR2105</t>
  </si>
  <si>
    <t>국조령 제106조(글로벌최저한세소득·결손의 계산에서 제외되는 국제해운소득·결손 등의 범위) 제1항 제5호 국제항행 선박의 운송활동을 위한 공동운항, 공동사업 또는 국제해운기구에의 참여</t>
  </si>
  <si>
    <t>GIR2106</t>
  </si>
  <si>
    <t>국조령 제106조(글로벌최저한세소득·결손의 계산에서 제외되는 국제해운소득·결손 등의 범위) 제1항 제6호 국제항행 운송활동에 사용된 선박으로서 구성기업이 1년 이상 보유한 선박의 매각</t>
  </si>
  <si>
    <t>①-GIR2201-국조령 제106조(글로벌최저한세소득·결손의 계산에서 제외되는 국제해운소득·결손 등의 범위) 제2항 제1호 구성기업 외의 해운기업에 대한 나용선 임대(용선 기간이 3년을 초과하지 않는 경우로 한정)
②-GIR2202-국조령 제106조(글로벌최저한세소득·결손의 계산에서 제외되는 국제해운소득·결손 등의 범위) 제2항 제2호 국제항행 여정의 국내 구간을 항행하는 다른 해운기업이 발권하는 표의 판매
③-GIR2203-국조령 제106조(글로벌최저한세소득·결손의 계산에서 제외되는 국제해운소득·결손 등의 범위) 제2항 제3호 컨테이너 임대(그 반납 지연에 따른 지체료 청구를 포함한다) 및 통상 5일 이하의 단기 보관
④-GIR2204-국조령 제106조(글로벌최저한세소득·결손의 계산에서 제외되는 국제해운소득·결손 등의 범위) 제2항 제4호 엔지니어, 유지보수 인력, 화물 처리 인력, 급식서비스 인력 및 고객서비스 인력이 다른 해운기업에 제공하는 서비스
⑤-GIR2205-국조령 제106조(글로벌최저한세소득·결손의 계산에서 제외되는 국제해운소득·결손 등의 범위) 제2항 제5호 국제해운사업의 영위를 위한 필수적인 투자</t>
    <phoneticPr fontId="2" type="noConversion"/>
  </si>
  <si>
    <t>GIR2201</t>
  </si>
  <si>
    <t>국조령 제106조(글로벌최저한세소득·결손의 계산에서 제외되는 국제해운소득·결손 등의 범위) 제2항 제1호 구성기업 외의 해운기업에 대한 나용선 임대(용선 기간이 3년을 초과하지 않는 경우로 한정)</t>
  </si>
  <si>
    <t>GIR2202</t>
  </si>
  <si>
    <t>국조령 제106조(글로벌최저한세소득·결손의 계산에서 제외되는 국제해운소득·결손 등의 범위) 제2항 제2호 국제항행 여정의 국내 구간을 항행하는 다른 해운기업이 발권하는 표의 판매</t>
  </si>
  <si>
    <t>GIR2203</t>
  </si>
  <si>
    <t>국조령 제106조(글로벌최저한세소득·결손의 계산에서 제외되는 국제해운소득·결손 등의 범위) 제2항 제3호 컨테이너 임대(그 반납 지연에 따른 지체료 청구를 포함한다) 및 통상 5일 이하의 단기 보관</t>
  </si>
  <si>
    <t>GIR2204</t>
  </si>
  <si>
    <t>국조령 제106조(글로벌최저한세소득·결손의 계산에서 제외되는 국제해운소득·결손 등의 범위) 제2항 제4호 엔지니어, 유지보수 인력, 화물 처리 인력, 급식서비스 인력 및 고객서비스 인력이 다른 해운기업에 제공하는 서비스</t>
  </si>
  <si>
    <t>GIR2205</t>
  </si>
  <si>
    <t>국조령 제106조(글로벌최저한세소득·결손의 계산에서 제외되는 국제해운소득·결손 등의 범위) 제2항 제5호 국제해운사업의 영위를 위한 필수적인 투자</t>
  </si>
  <si>
    <t>현업제공 원본</t>
    <phoneticPr fontId="2" type="noConversion"/>
  </si>
  <si>
    <t>Sheet</t>
    <phoneticPr fontId="2" type="noConversion"/>
  </si>
  <si>
    <t>2. 국가별 적용면제 및 제외 (국가별 기재)</t>
    <phoneticPr fontId="2" type="noConversion"/>
  </si>
  <si>
    <t>서식</t>
    <phoneticPr fontId="2" type="noConversion"/>
  </si>
  <si>
    <t>(b) 본점과 고정사업장간 손익의 국가간 배분 및 투과기업 손익의 국가간 배분</t>
    <phoneticPr fontId="2" type="noConversion"/>
  </si>
  <si>
    <t>목 차</t>
    <phoneticPr fontId="2" type="noConversion"/>
  </si>
  <si>
    <t>1.1.4</t>
    <phoneticPr fontId="0" type="noConversion"/>
  </si>
  <si>
    <t>신고구성기업 지위</t>
    <phoneticPr fontId="0" type="noConversion"/>
  </si>
  <si>
    <t>1.2.2.1</t>
    <phoneticPr fontId="0" type="noConversion"/>
  </si>
  <si>
    <t>최종모기업 연결재무제표(유형)</t>
    <phoneticPr fontId="0" type="noConversion"/>
  </si>
  <si>
    <t>1.3.1.2</t>
    <phoneticPr fontId="0" type="noConversion"/>
  </si>
  <si>
    <t>적용가능규칙</t>
    <phoneticPr fontId="0" type="noConversion"/>
  </si>
  <si>
    <t>1.3.1.6</t>
    <phoneticPr fontId="0" type="noConversion"/>
  </si>
  <si>
    <t>글로벌최저한세 목적상 기업유형</t>
    <phoneticPr fontId="0" type="noConversion"/>
  </si>
  <si>
    <t>1.3.1.7</t>
    <phoneticPr fontId="0" type="noConversion"/>
  </si>
  <si>
    <t>제외기업 유형</t>
    <phoneticPr fontId="0" type="noConversion"/>
  </si>
  <si>
    <t>1.3.2.1.3</t>
    <phoneticPr fontId="0" type="noConversion"/>
  </si>
  <si>
    <t>1.3.2.1.7</t>
    <phoneticPr fontId="0" type="noConversion"/>
  </si>
  <si>
    <t>1.3.2.1.11</t>
    <phoneticPr fontId="0" type="noConversion"/>
  </si>
  <si>
    <t>모기업 유형</t>
    <phoneticPr fontId="0" type="noConversion"/>
  </si>
  <si>
    <t>1.3.2.2.3</t>
    <phoneticPr fontId="0" type="noConversion"/>
  </si>
  <si>
    <t>1.3.3.4</t>
    <phoneticPr fontId="0" type="noConversion"/>
  </si>
  <si>
    <t>변동 전 글로벌최저한세목적상 기업 유형</t>
    <phoneticPr fontId="0" type="noConversion"/>
  </si>
  <si>
    <t>1.4.2</t>
    <phoneticPr fontId="0" type="noConversion"/>
  </si>
  <si>
    <t>1.4.5</t>
    <phoneticPr fontId="0" type="noConversion"/>
  </si>
  <si>
    <t>적용면제 또는 제외 사유</t>
    <phoneticPr fontId="0" type="noConversion"/>
  </si>
  <si>
    <t>1.4.6</t>
    <phoneticPr fontId="0" type="noConversion"/>
  </si>
  <si>
    <t>실효세율 범위</t>
    <phoneticPr fontId="0" type="noConversion"/>
  </si>
  <si>
    <t>1.4.8</t>
    <phoneticPr fontId="0" type="noConversion"/>
  </si>
  <si>
    <t>추가세액 (적격소재국추가세) 범위</t>
    <phoneticPr fontId="0" type="noConversion"/>
  </si>
  <si>
    <t>1.4.9</t>
    <phoneticPr fontId="0" type="noConversion"/>
  </si>
  <si>
    <t>추가세액(글로벌최저한세) 범위</t>
    <phoneticPr fontId="0" type="noConversion"/>
  </si>
  <si>
    <t>2.1.2</t>
    <phoneticPr fontId="0" type="noConversion"/>
  </si>
  <si>
    <t>3.1.2</t>
    <phoneticPr fontId="0" type="noConversion"/>
  </si>
  <si>
    <r>
      <t xml:space="preserve">① GIR301 – 구성기업
② GIR302 – 투과기업-투자과세기업
③ GIR303 – 투과기업-역혼성기업
④ GIR304 – 혼성기업
⑤ GIR305 – 고정사업장
⑥ GIR306 – 본점
⑦ GIR307 – 소수지분모기업
⑧ GIR308 – 소수지분자회사
⑨ GIR309 – 독립형 소수지분구성기업
⑩ GIR310 – 투자구성기업
⑪ GIR311 – 보험투자기업
⑫ GIR312 – 유동화회사
⑬ GIR313 – 공동기업
⑭ GIR314 – 공동기업 자회사
⑮ GIR315 – 중요성이 낮은 구성기업
</t>
    </r>
    <r>
      <rPr>
        <sz val="10"/>
        <color theme="1"/>
        <rFont val="Segoe UI Symbol"/>
        <family val="3"/>
      </rPr>
      <t>⑯</t>
    </r>
    <r>
      <rPr>
        <sz val="10"/>
        <color theme="1"/>
        <rFont val="맑은 고딕"/>
        <family val="3"/>
        <charset val="129"/>
        <scheme val="minor"/>
      </rPr>
      <t xml:space="preserve"> GIR316 – 제외기업
</t>
    </r>
    <r>
      <rPr>
        <sz val="10"/>
        <color theme="1"/>
        <rFont val="Segoe UI Symbol"/>
        <family val="3"/>
      </rPr>
      <t>⑰</t>
    </r>
    <r>
      <rPr>
        <sz val="10"/>
        <color theme="1"/>
        <rFont val="맑은 고딕"/>
        <family val="3"/>
        <charset val="129"/>
        <scheme val="minor"/>
      </rPr>
      <t xml:space="preserve"> GIR317 – 적격소득산입규칙을 적용하여야 하는 모기업
</t>
    </r>
    <r>
      <rPr>
        <sz val="10"/>
        <color theme="1"/>
        <rFont val="Segoe UI Symbol"/>
        <family val="3"/>
      </rPr>
      <t>⑱</t>
    </r>
    <r>
      <rPr>
        <sz val="10"/>
        <color theme="1"/>
        <rFont val="맑은 고딕"/>
        <family val="3"/>
        <charset val="129"/>
        <scheme val="minor"/>
      </rPr>
      <t xml:space="preserve"> GIR318 – 그룹 외 기업</t>
    </r>
    <phoneticPr fontId="2" type="noConversion"/>
  </si>
  <si>
    <r>
      <t xml:space="preserve">① GIR701 – 구성기업 
② GIR702 – 투과기업 투자과세기업 
③ GIR703 – 투과기업 역혼성기업 
④ GIR704 – 혼성기업 
⑤ GIR705 – 고정사업장 
⑥ GIR706 – 본점 
⑦ GIR707 – 소수지분모기업 
⑧ GIR708 – 소수지분자회사 
⑨ GIR709 – (독립형) 소수지분구성기업 
⑩ GIR710 – 투자구성기업 
⑪ GIR711 – 보험투자기업 
⑫ GIR712 – 유동화회사 
⑬ GIR713 – 공동기업 
⑭ GIR714 – 공동기업 자회사 
⑮ GIR715 – 중요성이 낮은 구성기업 
</t>
    </r>
    <r>
      <rPr>
        <sz val="10"/>
        <color theme="1"/>
        <rFont val="Segoe UI Symbol"/>
        <family val="3"/>
      </rPr>
      <t>⑯</t>
    </r>
    <r>
      <rPr>
        <sz val="10"/>
        <color theme="1"/>
        <rFont val="맑은 고딕"/>
        <family val="3"/>
        <charset val="129"/>
        <scheme val="minor"/>
      </rPr>
      <t xml:space="preserve"> GIR716 – 부분모기업 
</t>
    </r>
    <r>
      <rPr>
        <sz val="10"/>
        <color theme="1"/>
        <rFont val="Segoe UI Symbol"/>
        <family val="3"/>
      </rPr>
      <t>⑰</t>
    </r>
    <r>
      <rPr>
        <sz val="10"/>
        <color theme="1"/>
        <rFont val="맑은 고딕"/>
        <family val="3"/>
        <charset val="129"/>
        <scheme val="minor"/>
      </rPr>
      <t xml:space="preserve"> GIR717 – 중간모기업 
</t>
    </r>
    <r>
      <rPr>
        <sz val="10"/>
        <color theme="1"/>
        <rFont val="Segoe UI Symbol"/>
        <family val="3"/>
      </rPr>
      <t>⑱</t>
    </r>
    <r>
      <rPr>
        <sz val="10"/>
        <color theme="1"/>
        <rFont val="맑은 고딕"/>
        <family val="3"/>
        <charset val="129"/>
        <scheme val="minor"/>
      </rPr>
      <t xml:space="preserve"> GIR718 – 최종모기업 
</t>
    </r>
    <r>
      <rPr>
        <sz val="10"/>
        <color theme="1"/>
        <rFont val="Segoe UI Symbol"/>
        <family val="3"/>
      </rPr>
      <t>⑲</t>
    </r>
    <r>
      <rPr>
        <sz val="10"/>
        <color theme="1"/>
        <rFont val="맑은 고딕"/>
        <family val="3"/>
        <charset val="129"/>
        <scheme val="minor"/>
      </rPr>
      <t xml:space="preserve"> GIR719 – 제외기업 
</t>
    </r>
    <r>
      <rPr>
        <sz val="10"/>
        <color theme="1"/>
        <rFont val="Segoe UI Symbol"/>
        <family val="3"/>
      </rPr>
      <t>⑳</t>
    </r>
    <r>
      <rPr>
        <sz val="10"/>
        <color theme="1"/>
        <rFont val="맑은 고딕"/>
        <family val="3"/>
        <charset val="129"/>
        <scheme val="minor"/>
      </rPr>
      <t xml:space="preserve"> GIR720 – 적격소득산입규칙을 적용하여야 하는 모기업 
</t>
    </r>
    <r>
      <rPr>
        <sz val="10"/>
        <color theme="1"/>
        <rFont val="Noto Sans KR"/>
        <family val="3"/>
        <charset val="129"/>
      </rPr>
      <t>㉑</t>
    </r>
    <r>
      <rPr>
        <sz val="10"/>
        <color theme="1"/>
        <rFont val="맑은 고딕"/>
        <family val="3"/>
        <charset val="129"/>
        <scheme val="minor"/>
      </rPr>
      <t xml:space="preserve"> GIR721 – 그룹 외 기업</t>
    </r>
    <phoneticPr fontId="2" type="noConversion"/>
  </si>
  <si>
    <t>［합산단위 총 3개 중 1]</t>
    <phoneticPr fontId="2" type="noConversion"/>
  </si>
  <si>
    <t>구성기업</t>
    <phoneticPr fontId="0" type="noConversion"/>
  </si>
  <si>
    <t>1.3.3.6</t>
    <phoneticPr fontId="0" type="noConversion"/>
  </si>
  <si>
    <t>변동 전 또는 변동 후 해당 구성기업(또는, 다른 기업) 또는 공동기업그룹 기업의 소유 지분을 보유하는 기업</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</si>
</sst>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quot;△&quot;#,##0_)"/>
    <numFmt numFmtId="177" formatCode="###\-##\-#####"/>
    <numFmt numFmtId="178" formatCode="mm&quot;월&quot;\ dd&quot;일&quot;"/>
    <numFmt numFmtId="179" formatCode="0_);[Red]\(0\)"/>
  </numFmts>
  <fonts count="31" x14ac:knownFonts="1">
    <font>
      <sz val="11"/>
      <color theme="1"/>
      <name val="맑은 고딕"/>
      <family val="2"/>
      <charset val="129"/>
      <scheme val="minor"/>
    </font>
    <font>
      <sz val="11"/>
      <name val="돋움"/>
      <family val="3"/>
      <charset val="129"/>
    </font>
    <font>
      <sz val="8"/>
      <name val="맑은 고딕"/>
      <family val="2"/>
      <charset val="129"/>
      <scheme val="minor"/>
    </font>
    <font>
      <b/>
      <sz val="16"/>
      <color rgb="FF000000"/>
      <name val="맑은 고딕"/>
      <family val="3"/>
      <charset val="129"/>
      <scheme val="minor"/>
    </font>
    <font>
      <sz val="9"/>
      <color rgb="FF000000"/>
      <name val="맑은 고딕"/>
      <family val="3"/>
      <charset val="129"/>
      <scheme val="minor"/>
    </font>
    <font>
      <sz val="11"/>
      <color theme="1"/>
      <name val="맑은 고딕"/>
      <family val="3"/>
      <charset val="129"/>
      <scheme val="minor"/>
    </font>
    <font>
      <sz val="9"/>
      <color theme="1"/>
      <name val="맑은 고딕"/>
      <family val="3"/>
      <charset val="129"/>
      <scheme val="minor"/>
    </font>
    <font>
      <sz val="11"/>
      <color theme="1"/>
      <name val="맑은 고딕"/>
      <family val="2"/>
      <charset val="129"/>
      <scheme val="minor"/>
    </font>
    <font>
      <b/>
      <sz val="11"/>
      <color theme="1"/>
      <name val="맑은 고딕"/>
      <family val="3"/>
      <charset val="129"/>
      <scheme val="minor"/>
    </font>
    <font>
      <sz val="9"/>
      <color rgb="FF000000"/>
      <name val="Tahoma"/>
      <family val="2"/>
    </font>
    <font>
      <sz val="9"/>
      <color rgb="FF000000"/>
      <name val="돋움"/>
      <family val="3"/>
    </font>
    <font>
      <sz val="11"/>
      <color rgb="FFFF0000"/>
      <name val="맑은 고딕"/>
      <family val="3"/>
      <charset val="129"/>
      <scheme val="minor"/>
    </font>
    <font>
      <sz val="9"/>
      <color indexed="81"/>
      <name val="돋움"/>
      <family val="3"/>
      <charset val="129"/>
    </font>
    <font>
      <sz val="9"/>
      <color indexed="81"/>
      <name val="Tahoma"/>
      <family val="2"/>
    </font>
    <font>
      <sz val="11"/>
      <color theme="0"/>
      <name val="맑은 고딕"/>
      <family val="3"/>
      <charset val="129"/>
      <scheme val="minor"/>
    </font>
    <font>
      <u/>
      <sz val="11"/>
      <color theme="10"/>
      <name val="맑은 고딕"/>
      <family val="2"/>
      <charset val="129"/>
      <scheme val="minor"/>
    </font>
    <font>
      <b/>
      <sz val="16"/>
      <color theme="0"/>
      <name val="맑은 고딕"/>
      <family val="3"/>
      <charset val="129"/>
      <scheme val="minor"/>
    </font>
    <font>
      <b/>
      <sz val="10"/>
      <color rgb="FF000000"/>
      <name val="맑은 고딕"/>
      <family val="3"/>
      <charset val="129"/>
      <scheme val="minor"/>
    </font>
    <font>
      <sz val="10"/>
      <color theme="1"/>
      <name val="맑은 고딕"/>
      <family val="3"/>
      <charset val="129"/>
      <scheme val="minor"/>
    </font>
    <font>
      <b/>
      <sz val="10"/>
      <color theme="1"/>
      <name val="맑은 고딕"/>
      <family val="3"/>
      <charset val="129"/>
      <scheme val="minor"/>
    </font>
    <font>
      <b/>
      <sz val="11"/>
      <color theme="1" tint="4.9989318521683403E-2"/>
      <name val="맑은 고딕"/>
      <family val="3"/>
      <charset val="129"/>
      <scheme val="minor"/>
    </font>
    <font>
      <sz val="10"/>
      <color theme="1"/>
      <name val="맑은 고딕"/>
      <family val="2"/>
      <charset val="129"/>
      <scheme val="minor"/>
    </font>
    <font>
      <b/>
      <sz val="12"/>
      <color theme="0"/>
      <name val="맑은 고딕"/>
      <family val="3"/>
      <charset val="129"/>
      <scheme val="minor"/>
    </font>
    <font>
      <sz val="10"/>
      <color rgb="FF000000"/>
      <name val="맑은 고딕"/>
      <family val="3"/>
      <charset val="129"/>
      <scheme val="minor"/>
    </font>
    <font>
      <sz val="11"/>
      <color rgb="FF000000"/>
      <name val="맑은 고딕"/>
      <family val="3"/>
      <charset val="129"/>
      <scheme val="minor"/>
    </font>
    <font>
      <sz val="16"/>
      <color theme="1"/>
      <name val="맑은 고딕"/>
      <family val="3"/>
      <charset val="129"/>
      <scheme val="minor"/>
    </font>
    <font>
      <b/>
      <sz val="11"/>
      <color theme="3" tint="9.9978637043366805E-2"/>
      <name val="맑은 고딕"/>
      <family val="3"/>
      <charset val="129"/>
      <scheme val="minor"/>
    </font>
    <font>
      <sz val="9"/>
      <color theme="0"/>
      <name val="맑은 고딕"/>
      <family val="3"/>
      <charset val="129"/>
      <scheme val="minor"/>
    </font>
    <font>
      <sz val="10"/>
      <color theme="1"/>
      <name val="Segoe UI Symbol"/>
      <family val="3"/>
    </font>
    <font>
      <sz val="10"/>
      <color theme="1"/>
      <name val="Noto Sans KR"/>
      <family val="3"/>
      <charset val="129"/>
    </font>
    <font>
      <b/>
      <sz val="11"/>
      <color rgb="FF000000"/>
      <name val="맑은 고딕"/>
      <family val="3"/>
      <charset val="129"/>
      <scheme val="minor"/>
    </font>
  </fonts>
  <fills count="10">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theme="3" tint="0.89999084444715716"/>
        <bgColor indexed="64"/>
      </patternFill>
    </fill>
    <fill>
      <patternFill patternType="solid">
        <fgColor rgb="FFFFFFCC"/>
        <bgColor indexed="64"/>
      </patternFill>
    </fill>
    <fill>
      <patternFill patternType="solid">
        <fgColor theme="9" tint="0.79998168889431442"/>
        <bgColor indexed="64"/>
      </patternFill>
    </fill>
  </fills>
  <borders count="65">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diagonal/>
    </border>
    <border>
      <left/>
      <right style="thin">
        <color indexed="64"/>
      </right>
      <top/>
      <bottom/>
      <diagonal/>
    </border>
    <border>
      <left style="thin">
        <color indexed="64"/>
      </left>
      <right/>
      <top style="thin">
        <color rgb="FF000000"/>
      </top>
      <bottom/>
      <diagonal/>
    </border>
    <border>
      <left/>
      <right/>
      <top/>
      <bottom style="thin">
        <color indexed="64"/>
      </bottom>
      <diagonal/>
    </border>
    <border>
      <left/>
      <right style="thin">
        <color indexed="64"/>
      </right>
      <top/>
      <bottom style="thin">
        <color indexed="64"/>
      </bottom>
      <diagonal/>
    </border>
    <border>
      <left/>
      <right/>
      <top style="thin">
        <color rgb="FF000000"/>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rgb="FF000000"/>
      </right>
      <top/>
      <bottom/>
      <diagonal/>
    </border>
    <border>
      <left/>
      <right style="thin">
        <color indexed="64"/>
      </right>
      <top style="thin">
        <color auto="1"/>
      </top>
      <bottom style="thin">
        <color indexed="64"/>
      </bottom>
      <diagonal/>
    </border>
    <border>
      <left/>
      <right style="thin">
        <color indexed="64"/>
      </right>
      <top style="thin">
        <color auto="1"/>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rgb="FF000000"/>
      </top>
      <bottom style="thin">
        <color indexed="64"/>
      </bottom>
      <diagonal/>
    </border>
    <border>
      <left style="thin">
        <color rgb="FF000000"/>
      </left>
      <right style="thin">
        <color rgb="FF000000"/>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medium">
        <color theme="0" tint="-0.249977111117893"/>
      </bottom>
      <diagonal/>
    </border>
    <border>
      <left style="hair">
        <color indexed="64"/>
      </left>
      <right/>
      <top style="hair">
        <color indexed="64"/>
      </top>
      <bottom style="medium">
        <color theme="0" tint="-0.249977111117893"/>
      </bottom>
      <diagonal/>
    </border>
    <border>
      <left/>
      <right style="hair">
        <color indexed="64"/>
      </right>
      <top style="hair">
        <color indexed="64"/>
      </top>
      <bottom style="medium">
        <color theme="0" tint="-0.249977111117893"/>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style="hair">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rgb="FFC00000"/>
      </left>
      <right style="medium">
        <color rgb="FFC00000"/>
      </right>
      <top style="dashed">
        <color rgb="FFC00000"/>
      </top>
      <bottom style="dashed">
        <color rgb="FFC00000"/>
      </bottom>
      <diagonal/>
    </border>
    <border>
      <left style="medium">
        <color rgb="FFC00000"/>
      </left>
      <right style="medium">
        <color rgb="FFC00000"/>
      </right>
      <top style="dashed">
        <color rgb="FFC00000"/>
      </top>
      <bottom style="medium">
        <color rgb="FFC00000"/>
      </bottom>
      <diagonal/>
    </border>
    <border>
      <left/>
      <right/>
      <top/>
      <bottom style="medium">
        <color theme="1"/>
      </bottom>
      <diagonal/>
    </border>
    <border>
      <left/>
      <right/>
      <top style="medium">
        <color theme="1"/>
      </top>
      <bottom style="thin">
        <color indexed="64"/>
      </bottom>
      <diagonal/>
    </border>
    <border>
      <left/>
      <right style="thin">
        <color indexed="64"/>
      </right>
      <top style="thin">
        <color auto="1"/>
      </top>
      <bottom style="medium">
        <color theme="1"/>
      </bottom>
      <diagonal/>
    </border>
    <border>
      <left/>
      <right/>
      <top style="thin">
        <color indexed="64"/>
      </top>
      <bottom style="medium">
        <color theme="1"/>
      </bottom>
      <diagonal/>
    </border>
    <border>
      <left style="medium">
        <color rgb="FFC00000"/>
      </left>
      <right style="medium">
        <color rgb="FFC00000"/>
      </right>
      <top/>
      <bottom style="dashed">
        <color rgb="FFC00000"/>
      </bottom>
      <diagonal/>
    </border>
    <border>
      <left style="hair">
        <color indexed="64"/>
      </left>
      <right style="hair">
        <color indexed="64"/>
      </right>
      <top style="hair">
        <color indexed="64"/>
      </top>
      <bottom style="medium">
        <color theme="1" tint="0.499984740745262"/>
      </bottom>
      <diagonal/>
    </border>
    <border>
      <left style="hair">
        <color indexed="64"/>
      </left>
      <right/>
      <top style="hair">
        <color indexed="64"/>
      </top>
      <bottom style="medium">
        <color theme="1" tint="0.499984740745262"/>
      </bottom>
      <diagonal/>
    </border>
    <border>
      <left style="medium">
        <color rgb="FFC00000"/>
      </left>
      <right style="medium">
        <color rgb="FFC00000"/>
      </right>
      <top style="medium">
        <color rgb="FFC00000"/>
      </top>
      <bottom style="medium">
        <color theme="1" tint="0.499984740745262"/>
      </bottom>
      <diagonal/>
    </border>
    <border>
      <left/>
      <right style="hair">
        <color indexed="64"/>
      </right>
      <top style="hair">
        <color indexed="64"/>
      </top>
      <bottom style="medium">
        <color theme="1" tint="0.499984740745262"/>
      </bottom>
      <diagonal/>
    </border>
  </borders>
  <cellStyleXfs count="4">
    <xf numFmtId="0" fontId="0" fillId="0" borderId="0">
      <alignment vertical="center"/>
    </xf>
    <xf numFmtId="0" fontId="1" fillId="0" borderId="0"/>
    <xf numFmtId="9" fontId="7" fillId="0" borderId="0">
      <alignment vertical="center"/>
    </xf>
    <xf numFmtId="0" fontId="15" fillId="0" borderId="0" applyNumberFormat="0" applyFill="0" applyBorder="0" applyAlignment="0" applyProtection="0">
      <alignment vertical="center"/>
    </xf>
  </cellStyleXfs>
  <cellXfs count="378">
    <xf numFmtId="0" fontId="0" fillId="0" borderId="0" xfId="0">
      <alignment vertical="center"/>
    </xf>
    <xf numFmtId="0" fontId="5" fillId="0" borderId="0" xfId="0" applyFont="1">
      <alignment vertical="center"/>
    </xf>
    <xf numFmtId="0" fontId="6" fillId="0" borderId="0" xfId="0" applyFont="1">
      <alignment vertical="center"/>
    </xf>
    <xf numFmtId="0" fontId="4" fillId="0" borderId="0" xfId="0" applyFont="1" applyAlignment="1">
      <alignment horizontal="left" vertical="center" wrapText="1"/>
    </xf>
    <xf numFmtId="0" fontId="4" fillId="0" borderId="0" xfId="0" applyFont="1" applyAlignment="1">
      <alignment horizontal="justify" vertical="center" wrapText="1"/>
    </xf>
    <xf numFmtId="0" fontId="0" fillId="0" borderId="0" xfId="0" applyAlignment="1">
      <alignment horizontal="center" vertical="center"/>
    </xf>
    <xf numFmtId="0" fontId="0" fillId="0" borderId="3" xfId="0" applyBorder="1" applyAlignment="1">
      <alignment horizontal="center" vertical="center"/>
    </xf>
    <xf numFmtId="14" fontId="5" fillId="0" borderId="0" xfId="0" applyNumberFormat="1" applyFont="1">
      <alignment vertical="center"/>
    </xf>
    <xf numFmtId="0" fontId="0" fillId="0" borderId="0" xfId="0" applyAlignment="1">
      <alignment horizontal="center" vertical="center" wrapText="1"/>
    </xf>
    <xf numFmtId="0" fontId="0" fillId="0" borderId="0" xfId="0" applyAlignment="1">
      <alignment horizontal="left" vertical="center" wrapText="1"/>
    </xf>
    <xf numFmtId="0" fontId="8" fillId="2" borderId="3" xfId="0" applyFont="1" applyFill="1" applyBorder="1" applyAlignment="1">
      <alignment horizontal="center" vertical="center"/>
    </xf>
    <xf numFmtId="0" fontId="8" fillId="2" borderId="3" xfId="0" applyFont="1" applyFill="1"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left" vertical="center" wrapText="1"/>
    </xf>
    <xf numFmtId="0" fontId="11" fillId="0" borderId="0" xfId="0" applyFont="1">
      <alignment vertical="center"/>
    </xf>
    <xf numFmtId="0" fontId="0" fillId="0" borderId="28" xfId="0" applyBorder="1" applyAlignment="1">
      <alignment horizontal="left" vertical="center" wrapText="1"/>
    </xf>
    <xf numFmtId="0" fontId="8" fillId="0" borderId="3" xfId="0" applyFont="1" applyBorder="1" applyAlignment="1">
      <alignment horizontal="center" vertical="center"/>
    </xf>
    <xf numFmtId="0" fontId="8" fillId="0" borderId="3" xfId="0" applyFont="1" applyBorder="1" applyAlignment="1">
      <alignment horizontal="center" vertical="center" wrapText="1"/>
    </xf>
    <xf numFmtId="0" fontId="0" fillId="0" borderId="0" xfId="0" applyAlignment="1">
      <alignment vertical="center" wrapText="1"/>
    </xf>
    <xf numFmtId="0" fontId="14" fillId="0" borderId="0" xfId="0" applyFont="1">
      <alignment vertical="center"/>
    </xf>
    <xf numFmtId="0" fontId="22" fillId="6" borderId="0" xfId="0" applyFont="1" applyFill="1" applyAlignment="1">
      <alignment horizontal="center" vertical="center"/>
    </xf>
    <xf numFmtId="0" fontId="0" fillId="0" borderId="38" xfId="0" applyBorder="1" applyAlignment="1">
      <alignment vertical="center" shrinkToFit="1"/>
    </xf>
    <xf numFmtId="0" fontId="0" fillId="0" borderId="38" xfId="0" applyBorder="1" applyAlignment="1">
      <alignment horizontal="center" vertical="center" shrinkToFit="1"/>
    </xf>
    <xf numFmtId="0" fontId="0" fillId="0" borderId="39" xfId="0" applyBorder="1" applyAlignment="1">
      <alignment vertical="center" shrinkToFit="1"/>
    </xf>
    <xf numFmtId="0" fontId="0" fillId="0" borderId="39" xfId="0" applyBorder="1" applyAlignment="1">
      <alignment horizontal="center" vertical="center" shrinkToFit="1"/>
    </xf>
    <xf numFmtId="0" fontId="18" fillId="0" borderId="0" xfId="0" applyFont="1">
      <alignment vertical="center"/>
    </xf>
    <xf numFmtId="0" fontId="23" fillId="0" borderId="0" xfId="0" applyFont="1" applyAlignment="1">
      <alignment horizontal="center" vertical="center" wrapText="1"/>
    </xf>
    <xf numFmtId="0" fontId="18" fillId="0" borderId="0" xfId="0" applyFont="1" applyAlignment="1"/>
    <xf numFmtId="0" fontId="18" fillId="0" borderId="28" xfId="0" applyFont="1" applyBorder="1" applyAlignment="1">
      <alignment horizontal="center" vertical="center"/>
    </xf>
    <xf numFmtId="0" fontId="18" fillId="0" borderId="28" xfId="0" applyFont="1" applyBorder="1" applyAlignment="1">
      <alignment horizontal="center" vertical="center" wrapText="1"/>
    </xf>
    <xf numFmtId="0" fontId="18" fillId="0" borderId="22" xfId="0" applyFont="1" applyBorder="1" applyAlignment="1">
      <alignment horizontal="center" vertical="center" wrapText="1"/>
    </xf>
    <xf numFmtId="0" fontId="18" fillId="0" borderId="25" xfId="0" applyFont="1" applyBorder="1" applyAlignment="1">
      <alignment horizontal="center" vertical="center" wrapText="1"/>
    </xf>
    <xf numFmtId="0" fontId="23" fillId="0" borderId="0" xfId="0" applyFont="1" applyAlignment="1">
      <alignment horizontal="left" vertical="center"/>
    </xf>
    <xf numFmtId="0" fontId="23" fillId="0" borderId="28" xfId="0" applyFont="1" applyBorder="1">
      <alignment vertical="center"/>
    </xf>
    <xf numFmtId="0" fontId="23" fillId="0" borderId="22" xfId="0" applyFont="1" applyBorder="1" applyAlignment="1">
      <alignment horizontal="center" vertical="center" wrapText="1"/>
    </xf>
    <xf numFmtId="0" fontId="23" fillId="0" borderId="28" xfId="0" applyFont="1" applyBorder="1" applyAlignment="1">
      <alignment horizontal="center" vertical="center" wrapText="1"/>
    </xf>
    <xf numFmtId="0" fontId="17" fillId="0" borderId="28" xfId="0" applyFont="1" applyBorder="1" applyAlignment="1">
      <alignment horizontal="center" vertical="center"/>
    </xf>
    <xf numFmtId="0" fontId="23" fillId="0" borderId="0" xfId="0" applyFont="1" applyAlignment="1">
      <alignment horizontal="left" vertical="center" wrapText="1"/>
    </xf>
    <xf numFmtId="0" fontId="23" fillId="0" borderId="0" xfId="0" applyFont="1" applyAlignment="1">
      <alignment horizontal="justify" vertical="center" wrapText="1"/>
    </xf>
    <xf numFmtId="0" fontId="18" fillId="0" borderId="25" xfId="0" applyFont="1" applyBorder="1" applyAlignment="1">
      <alignment horizontal="center" vertical="center"/>
    </xf>
    <xf numFmtId="10" fontId="23" fillId="0" borderId="28" xfId="2" applyNumberFormat="1" applyFont="1" applyBorder="1" applyAlignment="1">
      <alignment horizontal="center" vertical="center"/>
    </xf>
    <xf numFmtId="176" fontId="18" fillId="0" borderId="3" xfId="0" applyNumberFormat="1" applyFont="1" applyBorder="1" applyAlignment="1">
      <alignment horizontal="right" vertical="center" shrinkToFit="1"/>
    </xf>
    <xf numFmtId="10" fontId="18" fillId="0" borderId="3" xfId="2" applyNumberFormat="1" applyFont="1" applyBorder="1" applyAlignment="1">
      <alignment horizontal="center" vertical="center"/>
    </xf>
    <xf numFmtId="0" fontId="19" fillId="0" borderId="28" xfId="0" applyFont="1" applyBorder="1">
      <alignment vertical="center"/>
    </xf>
    <xf numFmtId="0" fontId="0" fillId="2" borderId="39" xfId="0" applyFill="1" applyBorder="1" applyAlignment="1">
      <alignment horizontal="center" vertical="center" shrinkToFit="1"/>
    </xf>
    <xf numFmtId="0" fontId="0" fillId="2" borderId="38" xfId="0" applyFill="1" applyBorder="1" applyAlignment="1">
      <alignment horizontal="center" vertical="center" shrinkToFit="1"/>
    </xf>
    <xf numFmtId="0" fontId="8" fillId="2" borderId="40" xfId="0" applyFont="1" applyFill="1" applyBorder="1" applyAlignment="1">
      <alignment horizontal="center" vertical="center" wrapText="1"/>
    </xf>
    <xf numFmtId="0" fontId="8" fillId="7" borderId="40" xfId="0" applyFont="1" applyFill="1" applyBorder="1" applyAlignment="1">
      <alignment horizontal="center" vertical="center" wrapText="1"/>
    </xf>
    <xf numFmtId="0" fontId="8" fillId="2" borderId="41" xfId="0" applyFont="1" applyFill="1" applyBorder="1" applyAlignment="1">
      <alignment horizontal="center" vertical="center" wrapText="1"/>
    </xf>
    <xf numFmtId="0" fontId="8" fillId="2" borderId="42" xfId="0" applyFont="1" applyFill="1" applyBorder="1" applyAlignment="1">
      <alignment horizontal="center" vertical="center" wrapText="1"/>
    </xf>
    <xf numFmtId="0" fontId="26" fillId="0" borderId="0" xfId="0" applyFont="1" applyAlignment="1">
      <alignment horizontal="center" vertical="center" wrapText="1"/>
    </xf>
    <xf numFmtId="0" fontId="14" fillId="0" borderId="0" xfId="0" quotePrefix="1" applyFont="1">
      <alignment vertical="center"/>
    </xf>
    <xf numFmtId="178" fontId="14" fillId="0" borderId="0" xfId="0" quotePrefix="1" applyNumberFormat="1" applyFont="1">
      <alignment vertical="center"/>
    </xf>
    <xf numFmtId="0" fontId="27" fillId="0" borderId="0" xfId="0" applyFont="1">
      <alignment vertical="center"/>
    </xf>
    <xf numFmtId="0" fontId="0" fillId="8" borderId="39" xfId="0" applyFill="1" applyBorder="1" applyAlignment="1">
      <alignment horizontal="center" vertical="center" shrinkToFit="1"/>
    </xf>
    <xf numFmtId="0" fontId="0" fillId="8" borderId="38" xfId="0" applyFill="1" applyBorder="1" applyAlignment="1">
      <alignment horizontal="center" vertical="center" shrinkToFit="1"/>
    </xf>
    <xf numFmtId="0" fontId="18" fillId="9" borderId="22" xfId="0" applyFont="1" applyFill="1" applyBorder="1" applyAlignment="1">
      <alignment horizontal="center" vertical="center" wrapText="1"/>
    </xf>
    <xf numFmtId="0" fontId="14" fillId="4" borderId="53" xfId="0" applyFont="1" applyFill="1" applyBorder="1">
      <alignment vertical="center"/>
    </xf>
    <xf numFmtId="0" fontId="14" fillId="4" borderId="53" xfId="0" applyFont="1" applyFill="1" applyBorder="1" applyAlignment="1">
      <alignment horizontal="center" vertical="center"/>
    </xf>
    <xf numFmtId="0" fontId="0" fillId="0" borderId="53" xfId="0" applyBorder="1" applyAlignment="1">
      <alignment horizontal="center" vertical="center"/>
    </xf>
    <xf numFmtId="0" fontId="8" fillId="2" borderId="53" xfId="0" applyFont="1" applyFill="1" applyBorder="1" applyAlignment="1">
      <alignment vertical="center" wrapText="1"/>
    </xf>
    <xf numFmtId="0" fontId="19" fillId="2" borderId="53" xfId="0" applyFont="1" applyFill="1" applyBorder="1" applyAlignment="1">
      <alignment horizontal="center" vertical="center"/>
    </xf>
    <xf numFmtId="0" fontId="8" fillId="2" borderId="53" xfId="0" applyFont="1" applyFill="1" applyBorder="1" applyAlignment="1">
      <alignment horizontal="center" vertical="center"/>
    </xf>
    <xf numFmtId="0" fontId="8" fillId="5" borderId="53" xfId="0" applyFont="1" applyFill="1" applyBorder="1" applyAlignment="1">
      <alignment vertical="center" wrapText="1"/>
    </xf>
    <xf numFmtId="0" fontId="20" fillId="0" borderId="53" xfId="0" applyFont="1" applyBorder="1" applyAlignment="1">
      <alignment horizontal="left" vertical="center" wrapText="1" indent="1"/>
    </xf>
    <xf numFmtId="0" fontId="15" fillId="0" borderId="53" xfId="3" applyBorder="1" applyAlignment="1">
      <alignment horizontal="center" vertical="center"/>
    </xf>
    <xf numFmtId="0" fontId="0" fillId="0" borderId="53" xfId="0" applyBorder="1" applyAlignment="1">
      <alignment horizontal="left" vertical="center" wrapText="1" indent="2"/>
    </xf>
    <xf numFmtId="0" fontId="8" fillId="0" borderId="53" xfId="0" applyFont="1" applyBorder="1" applyAlignment="1">
      <alignment horizontal="left" vertical="center" wrapText="1" indent="1"/>
    </xf>
    <xf numFmtId="0" fontId="0" fillId="0" borderId="53" xfId="0" applyBorder="1" applyAlignment="1">
      <alignment horizontal="left" vertical="center" wrapText="1" indent="3"/>
    </xf>
    <xf numFmtId="0" fontId="21" fillId="0" borderId="53" xfId="0" applyFont="1" applyBorder="1" applyAlignment="1">
      <alignment horizontal="left" vertical="center" wrapText="1" indent="3"/>
    </xf>
    <xf numFmtId="0" fontId="16" fillId="4" borderId="53" xfId="0" applyFont="1" applyFill="1" applyBorder="1" applyAlignment="1">
      <alignment horizontal="center" vertical="center" wrapText="1"/>
    </xf>
    <xf numFmtId="0" fontId="21" fillId="0" borderId="49" xfId="0" applyFont="1" applyBorder="1" applyAlignment="1">
      <alignment vertical="center" wrapText="1"/>
    </xf>
    <xf numFmtId="0" fontId="21" fillId="8" borderId="39" xfId="0" applyFont="1" applyFill="1" applyBorder="1" applyAlignment="1">
      <alignment vertical="center" wrapText="1"/>
    </xf>
    <xf numFmtId="0" fontId="21" fillId="0" borderId="50" xfId="0" applyFont="1" applyBorder="1" applyAlignment="1">
      <alignment vertical="center" wrapText="1"/>
    </xf>
    <xf numFmtId="0" fontId="21" fillId="8" borderId="38" xfId="0" applyFont="1" applyFill="1" applyBorder="1" applyAlignment="1">
      <alignment vertical="center" wrapText="1"/>
    </xf>
    <xf numFmtId="0" fontId="21" fillId="0" borderId="51" xfId="0" applyFont="1" applyBorder="1" applyAlignment="1">
      <alignment vertical="center" wrapText="1"/>
    </xf>
    <xf numFmtId="0" fontId="21" fillId="8" borderId="43" xfId="0" applyFont="1" applyFill="1" applyBorder="1" applyAlignment="1">
      <alignment vertical="center" wrapText="1"/>
    </xf>
    <xf numFmtId="0" fontId="21" fillId="0" borderId="52" xfId="0" applyFont="1" applyBorder="1" applyAlignment="1">
      <alignment vertical="center" wrapText="1"/>
    </xf>
    <xf numFmtId="0" fontId="21" fillId="8" borderId="44" xfId="0" applyFont="1" applyFill="1" applyBorder="1" applyAlignment="1">
      <alignment vertical="center" wrapText="1"/>
    </xf>
    <xf numFmtId="0" fontId="21" fillId="0" borderId="44" xfId="0" applyFont="1" applyBorder="1" applyAlignment="1">
      <alignment vertical="center" wrapText="1"/>
    </xf>
    <xf numFmtId="0" fontId="21" fillId="0" borderId="38" xfId="0" applyFont="1" applyBorder="1" applyAlignment="1">
      <alignment vertical="center" wrapText="1"/>
    </xf>
    <xf numFmtId="0" fontId="21" fillId="0" borderId="43" xfId="0" applyFont="1" applyBorder="1" applyAlignment="1">
      <alignment vertical="center" wrapText="1"/>
    </xf>
    <xf numFmtId="0" fontId="21" fillId="0" borderId="0" xfId="0" applyFont="1">
      <alignment vertical="center"/>
    </xf>
    <xf numFmtId="0" fontId="21" fillId="0" borderId="0" xfId="0" applyFont="1" applyAlignment="1">
      <alignment horizontal="left" vertical="center"/>
    </xf>
    <xf numFmtId="0" fontId="21" fillId="0" borderId="0" xfId="0" applyFont="1" applyAlignment="1">
      <alignment vertical="center" wrapText="1"/>
    </xf>
    <xf numFmtId="0" fontId="5" fillId="0" borderId="56" xfId="0" applyFont="1" applyBorder="1">
      <alignment vertical="center"/>
    </xf>
    <xf numFmtId="0" fontId="8" fillId="2" borderId="57" xfId="0" applyFont="1" applyFill="1" applyBorder="1" applyAlignment="1">
      <alignment horizontal="centerContinuous" vertical="distributed"/>
    </xf>
    <xf numFmtId="0" fontId="5" fillId="2" borderId="57" xfId="0" applyFont="1" applyFill="1" applyBorder="1" applyAlignment="1">
      <alignment horizontal="centerContinuous" vertical="distributed"/>
    </xf>
    <xf numFmtId="0" fontId="21" fillId="0" borderId="61" xfId="0" applyFont="1" applyBorder="1">
      <alignment vertical="center"/>
    </xf>
    <xf numFmtId="0" fontId="21" fillId="0" borderId="62" xfId="0" applyFont="1" applyBorder="1">
      <alignment vertical="center"/>
    </xf>
    <xf numFmtId="179" fontId="19" fillId="9" borderId="63" xfId="0" applyNumberFormat="1" applyFont="1" applyFill="1" applyBorder="1" applyAlignment="1">
      <alignment horizontal="center" vertical="center"/>
    </xf>
    <xf numFmtId="0" fontId="19" fillId="9" borderId="64" xfId="0" applyFont="1" applyFill="1" applyBorder="1" applyAlignment="1">
      <alignment horizontal="center" vertical="center" wrapText="1"/>
    </xf>
    <xf numFmtId="0" fontId="19" fillId="9" borderId="61" xfId="0" applyFont="1" applyFill="1" applyBorder="1" applyAlignment="1">
      <alignment horizontal="center" vertical="center"/>
    </xf>
    <xf numFmtId="0" fontId="19" fillId="9" borderId="61" xfId="0" applyFont="1" applyFill="1" applyBorder="1" applyAlignment="1">
      <alignment horizontal="center" vertical="center" wrapText="1"/>
    </xf>
    <xf numFmtId="0" fontId="21" fillId="0" borderId="0" xfId="0" applyFont="1" applyAlignment="1">
      <alignment horizontal="center" vertical="center"/>
    </xf>
    <xf numFmtId="0" fontId="21" fillId="0" borderId="39" xfId="0" applyFont="1" applyBorder="1" applyAlignment="1">
      <alignment horizontal="center" vertical="center"/>
    </xf>
    <xf numFmtId="0" fontId="21" fillId="0" borderId="38" xfId="0" applyFont="1" applyBorder="1" applyAlignment="1">
      <alignment horizontal="center" vertical="center"/>
    </xf>
    <xf numFmtId="0" fontId="21" fillId="0" borderId="43" xfId="0" applyFont="1" applyBorder="1" applyAlignment="1">
      <alignment horizontal="center" vertical="center"/>
    </xf>
    <xf numFmtId="0" fontId="21" fillId="0" borderId="44" xfId="0" applyFont="1" applyBorder="1" applyAlignment="1">
      <alignment horizontal="center" vertical="center"/>
    </xf>
    <xf numFmtId="0" fontId="21" fillId="0" borderId="44" xfId="0" applyFont="1" applyBorder="1" applyAlignment="1">
      <alignment horizontal="center" vertical="center"/>
    </xf>
    <xf numFmtId="0" fontId="21" fillId="0" borderId="38" xfId="0" applyFont="1" applyBorder="1" applyAlignment="1">
      <alignment horizontal="center" vertical="center"/>
    </xf>
    <xf numFmtId="0" fontId="21" fillId="0" borderId="43" xfId="0" applyFont="1" applyBorder="1" applyAlignment="1">
      <alignment horizontal="center" vertical="center"/>
    </xf>
    <xf numFmtId="0" fontId="21" fillId="0" borderId="48" xfId="0" applyFont="1" applyBorder="1" applyAlignment="1">
      <alignment horizontal="center" vertical="center" wrapText="1"/>
    </xf>
    <xf numFmtId="0" fontId="21" fillId="0" borderId="46" xfId="0" applyFont="1" applyBorder="1" applyAlignment="1">
      <alignment horizontal="center" vertical="center" wrapText="1"/>
    </xf>
    <xf numFmtId="0" fontId="21" fillId="0" borderId="47" xfId="0" applyFont="1" applyBorder="1" applyAlignment="1">
      <alignment horizontal="center" vertical="center" wrapText="1"/>
    </xf>
    <xf numFmtId="179" fontId="18" fillId="2" borderId="54" xfId="0" applyNumberFormat="1" applyFont="1" applyFill="1" applyBorder="1" applyAlignment="1">
      <alignment horizontal="left" vertical="center" wrapText="1" shrinkToFit="1"/>
    </xf>
    <xf numFmtId="179" fontId="18" fillId="2" borderId="55" xfId="0" applyNumberFormat="1" applyFont="1" applyFill="1" applyBorder="1" applyAlignment="1">
      <alignment horizontal="left" vertical="center" wrapText="1" shrinkToFit="1"/>
    </xf>
    <xf numFmtId="179" fontId="18" fillId="2" borderId="54" xfId="0" applyNumberFormat="1" applyFont="1" applyFill="1" applyBorder="1" applyAlignment="1">
      <alignment horizontal="left" vertical="center" wrapText="1"/>
    </xf>
    <xf numFmtId="0" fontId="21" fillId="0" borderId="48" xfId="0" applyFont="1" applyBorder="1" applyAlignment="1">
      <alignment horizontal="center" vertical="center"/>
    </xf>
    <xf numFmtId="0" fontId="21" fillId="0" borderId="46" xfId="0" applyFont="1" applyBorder="1" applyAlignment="1">
      <alignment horizontal="center" vertical="center"/>
    </xf>
    <xf numFmtId="0" fontId="21" fillId="0" borderId="47" xfId="0" applyFont="1" applyBorder="1" applyAlignment="1">
      <alignment horizontal="center" vertical="center"/>
    </xf>
    <xf numFmtId="0" fontId="21" fillId="0" borderId="39" xfId="0" applyFont="1" applyBorder="1" applyAlignment="1">
      <alignment horizontal="center" vertical="center"/>
    </xf>
    <xf numFmtId="0" fontId="21" fillId="0" borderId="45" xfId="0" applyFont="1" applyBorder="1" applyAlignment="1">
      <alignment horizontal="center" vertical="center" wrapText="1"/>
    </xf>
    <xf numFmtId="179" fontId="18" fillId="2" borderId="60" xfId="0" applyNumberFormat="1" applyFont="1" applyFill="1" applyBorder="1" applyAlignment="1">
      <alignment horizontal="left" vertical="center" wrapText="1"/>
    </xf>
    <xf numFmtId="0" fontId="15" fillId="0" borderId="53" xfId="3" applyBorder="1" applyAlignment="1">
      <alignment horizontal="center" vertical="center"/>
    </xf>
    <xf numFmtId="0" fontId="15" fillId="0" borderId="53" xfId="3" quotePrefix="1" applyBorder="1" applyAlignment="1">
      <alignment horizontal="center" vertical="center"/>
    </xf>
    <xf numFmtId="0" fontId="0" fillId="0" borderId="53" xfId="0" applyBorder="1" applyAlignment="1">
      <alignment horizontal="center" vertical="center"/>
    </xf>
    <xf numFmtId="0" fontId="23" fillId="0" borderId="10" xfId="0" applyFont="1" applyBorder="1" applyAlignment="1">
      <alignment horizontal="center" vertical="center" wrapText="1"/>
    </xf>
    <xf numFmtId="0" fontId="18" fillId="0" borderId="6" xfId="0" applyFont="1" applyBorder="1" applyAlignment="1"/>
    <xf numFmtId="0" fontId="18" fillId="0" borderId="10" xfId="0" applyFont="1" applyBorder="1" applyAlignment="1"/>
    <xf numFmtId="0" fontId="23" fillId="0" borderId="16" xfId="0" applyFont="1" applyBorder="1" applyAlignment="1">
      <alignment horizontal="center" vertical="center" wrapText="1"/>
    </xf>
    <xf numFmtId="0" fontId="23" fillId="0" borderId="24" xfId="0" applyFont="1" applyBorder="1" applyAlignment="1">
      <alignment horizontal="center" vertical="center" wrapText="1"/>
    </xf>
    <xf numFmtId="0" fontId="18" fillId="0" borderId="21" xfId="0" applyFont="1" applyBorder="1" applyAlignment="1"/>
    <xf numFmtId="0" fontId="23" fillId="8" borderId="4" xfId="0" applyFont="1" applyFill="1" applyBorder="1" applyAlignment="1">
      <alignment horizontal="center" vertical="center" wrapText="1"/>
    </xf>
    <xf numFmtId="0" fontId="18" fillId="8" borderId="7" xfId="0" applyFont="1" applyFill="1" applyBorder="1" applyAlignment="1"/>
    <xf numFmtId="0" fontId="18" fillId="8" borderId="4" xfId="0" applyFont="1" applyFill="1" applyBorder="1" applyAlignment="1"/>
    <xf numFmtId="0" fontId="23" fillId="0" borderId="13" xfId="0" applyFont="1" applyBorder="1" applyAlignment="1">
      <alignment horizontal="center" vertical="center" wrapText="1"/>
    </xf>
    <xf numFmtId="0" fontId="18" fillId="0" borderId="7" xfId="0" applyFont="1" applyBorder="1" applyAlignment="1"/>
    <xf numFmtId="0" fontId="23" fillId="0" borderId="2" xfId="0" applyFont="1" applyBorder="1" applyAlignment="1">
      <alignment horizontal="center" vertical="center" wrapText="1"/>
    </xf>
    <xf numFmtId="0" fontId="18" fillId="0" borderId="1" xfId="0" applyFont="1" applyBorder="1" applyAlignment="1"/>
    <xf numFmtId="0" fontId="23" fillId="0" borderId="9" xfId="0" applyFont="1" applyBorder="1" applyAlignment="1">
      <alignment horizontal="center" vertical="center" wrapText="1"/>
    </xf>
    <xf numFmtId="0" fontId="18" fillId="0" borderId="8" xfId="0" applyFont="1" applyBorder="1" applyAlignment="1"/>
    <xf numFmtId="0" fontId="18" fillId="0" borderId="9" xfId="0" applyFont="1" applyBorder="1" applyAlignment="1"/>
    <xf numFmtId="14" fontId="23" fillId="0" borderId="15" xfId="0" applyNumberFormat="1" applyFont="1" applyBorder="1" applyAlignment="1">
      <alignment horizontal="center" vertical="center" wrapText="1"/>
    </xf>
    <xf numFmtId="0" fontId="23" fillId="0" borderId="30" xfId="0" applyFont="1" applyBorder="1" applyAlignment="1">
      <alignment horizontal="center" vertical="center" wrapText="1"/>
    </xf>
    <xf numFmtId="0" fontId="18" fillId="0" borderId="26" xfId="0" applyFont="1" applyBorder="1" applyAlignment="1"/>
    <xf numFmtId="0" fontId="17" fillId="0" borderId="1" xfId="0" applyFont="1" applyBorder="1" applyAlignment="1">
      <alignment horizontal="justify" vertical="center" wrapText="1"/>
    </xf>
    <xf numFmtId="0" fontId="23" fillId="0" borderId="0" xfId="0" applyFont="1" applyAlignment="1">
      <alignment horizontal="justify" vertical="center" wrapText="1"/>
    </xf>
    <xf numFmtId="0" fontId="18" fillId="0" borderId="0" xfId="0" applyFont="1" applyAlignment="1"/>
    <xf numFmtId="0" fontId="23" fillId="0" borderId="28" xfId="0" applyFont="1" applyBorder="1" applyAlignment="1">
      <alignment horizontal="center" vertical="center" wrapText="1"/>
    </xf>
    <xf numFmtId="0" fontId="18" fillId="0" borderId="28" xfId="0" applyFont="1" applyBorder="1" applyAlignment="1"/>
    <xf numFmtId="0" fontId="23" fillId="0" borderId="3" xfId="0" applyFont="1" applyBorder="1" applyAlignment="1">
      <alignment horizontal="center" vertical="center" wrapText="1"/>
    </xf>
    <xf numFmtId="49" fontId="23" fillId="0" borderId="3" xfId="0" applyNumberFormat="1" applyFont="1" applyBorder="1" applyAlignment="1">
      <alignment horizontal="center" vertical="center"/>
    </xf>
    <xf numFmtId="49" fontId="18" fillId="0" borderId="1" xfId="0" applyNumberFormat="1" applyFont="1" applyBorder="1" applyAlignment="1"/>
    <xf numFmtId="49" fontId="18" fillId="0" borderId="28" xfId="0" applyNumberFormat="1" applyFont="1" applyBorder="1" applyAlignment="1"/>
    <xf numFmtId="0" fontId="23" fillId="8" borderId="3" xfId="0" applyFont="1" applyFill="1" applyBorder="1" applyAlignment="1">
      <alignment horizontal="center" vertical="center" wrapText="1"/>
    </xf>
    <xf numFmtId="0" fontId="18" fillId="8" borderId="28" xfId="0" applyFont="1" applyFill="1" applyBorder="1" applyAlignment="1"/>
    <xf numFmtId="0" fontId="23" fillId="0" borderId="3" xfId="0" applyFont="1" applyBorder="1" applyAlignment="1">
      <alignment horizontal="center" vertical="center"/>
    </xf>
    <xf numFmtId="0" fontId="24" fillId="0" borderId="4" xfId="0" applyFont="1" applyBorder="1" applyAlignment="1">
      <alignment horizontal="center" vertical="center" wrapText="1"/>
    </xf>
    <xf numFmtId="0" fontId="5" fillId="0" borderId="27" xfId="0" applyFont="1" applyBorder="1" applyAlignment="1"/>
    <xf numFmtId="0" fontId="3" fillId="0" borderId="14" xfId="0" applyFont="1" applyBorder="1" applyAlignment="1">
      <alignment horizontal="center" vertical="center" wrapText="1"/>
    </xf>
    <xf numFmtId="0" fontId="25" fillId="0" borderId="8" xfId="0" applyFont="1" applyBorder="1" applyAlignment="1"/>
    <xf numFmtId="0" fontId="25" fillId="0" borderId="11" xfId="0" applyFont="1" applyBorder="1" applyAlignment="1"/>
    <xf numFmtId="0" fontId="25" fillId="0" borderId="0" xfId="0" applyFont="1">
      <alignment vertical="center"/>
    </xf>
    <xf numFmtId="0" fontId="25" fillId="0" borderId="0" xfId="0" applyFont="1" applyAlignment="1"/>
    <xf numFmtId="0" fontId="24" fillId="0" borderId="13" xfId="0" applyFont="1" applyBorder="1" applyAlignment="1">
      <alignment horizontal="distributed" vertical="center" wrapText="1" indent="1"/>
    </xf>
    <xf numFmtId="0" fontId="5" fillId="0" borderId="9" xfId="0" applyFont="1" applyBorder="1" applyAlignment="1"/>
    <xf numFmtId="0" fontId="5" fillId="0" borderId="12" xfId="0" applyFont="1" applyBorder="1" applyAlignment="1"/>
    <xf numFmtId="0" fontId="5" fillId="0" borderId="10" xfId="0" applyFont="1" applyBorder="1" applyAlignment="1"/>
    <xf numFmtId="0" fontId="24" fillId="0" borderId="14" xfId="0" applyFont="1" applyBorder="1" applyAlignment="1">
      <alignment horizontal="center" vertical="center" wrapText="1"/>
    </xf>
    <xf numFmtId="0" fontId="5" fillId="0" borderId="8" xfId="0" applyFont="1" applyBorder="1" applyAlignment="1"/>
    <xf numFmtId="0" fontId="5" fillId="0" borderId="6" xfId="0" applyFont="1" applyBorder="1" applyAlignment="1"/>
    <xf numFmtId="0" fontId="17" fillId="0" borderId="5" xfId="0" applyFont="1" applyBorder="1" applyAlignment="1">
      <alignment horizontal="center" vertical="center" wrapText="1"/>
    </xf>
    <xf numFmtId="0" fontId="18" fillId="0" borderId="27" xfId="0" applyFont="1" applyBorder="1" applyAlignment="1"/>
    <xf numFmtId="0" fontId="18" fillId="0" borderId="11" xfId="0" applyFont="1" applyBorder="1" applyAlignment="1"/>
    <xf numFmtId="0" fontId="5" fillId="0" borderId="11" xfId="0" applyFont="1" applyBorder="1" applyAlignment="1"/>
    <xf numFmtId="177" fontId="24" fillId="0" borderId="14" xfId="0" applyNumberFormat="1" applyFont="1" applyBorder="1" applyAlignment="1">
      <alignment horizontal="center" vertical="center" wrapText="1"/>
    </xf>
    <xf numFmtId="0" fontId="5" fillId="0" borderId="0" xfId="0" applyFont="1" applyAlignment="1"/>
    <xf numFmtId="14" fontId="23" fillId="0" borderId="5" xfId="0" applyNumberFormat="1" applyFont="1" applyBorder="1" applyAlignment="1">
      <alignment horizontal="center" vertical="center" wrapText="1"/>
    </xf>
    <xf numFmtId="0" fontId="23" fillId="9" borderId="18" xfId="0" applyFont="1" applyFill="1" applyBorder="1" applyAlignment="1">
      <alignment horizontal="left" vertical="center" wrapText="1"/>
    </xf>
    <xf numFmtId="0" fontId="18" fillId="9" borderId="8" xfId="0" applyFont="1" applyFill="1" applyBorder="1" applyAlignment="1"/>
    <xf numFmtId="0" fontId="18" fillId="9" borderId="18" xfId="0" applyFont="1" applyFill="1" applyBorder="1" applyAlignment="1"/>
    <xf numFmtId="0" fontId="23" fillId="8" borderId="20" xfId="0" applyFont="1" applyFill="1" applyBorder="1" applyAlignment="1">
      <alignment horizontal="center" vertical="center" wrapText="1"/>
    </xf>
    <xf numFmtId="0" fontId="18" fillId="8" borderId="8" xfId="0" applyFont="1" applyFill="1" applyBorder="1" applyAlignment="1"/>
    <xf numFmtId="0" fontId="23" fillId="0" borderId="18" xfId="0" applyFont="1" applyBorder="1" applyAlignment="1">
      <alignment horizontal="left" vertical="center" wrapText="1"/>
    </xf>
    <xf numFmtId="0" fontId="18" fillId="0" borderId="18" xfId="0" applyFont="1" applyBorder="1" applyAlignment="1"/>
    <xf numFmtId="0" fontId="23" fillId="0" borderId="32" xfId="0" applyFont="1" applyBorder="1" applyAlignment="1">
      <alignment horizontal="left" vertical="center" wrapText="1"/>
    </xf>
    <xf numFmtId="0" fontId="18" fillId="0" borderId="23" xfId="0" applyFont="1" applyBorder="1" applyAlignment="1"/>
    <xf numFmtId="0" fontId="18" fillId="0" borderId="32" xfId="0" applyFont="1" applyBorder="1" applyAlignment="1"/>
    <xf numFmtId="0" fontId="23" fillId="0" borderId="17" xfId="0" applyFont="1" applyBorder="1" applyAlignment="1">
      <alignment horizontal="center" vertical="center" wrapText="1"/>
    </xf>
    <xf numFmtId="0" fontId="23" fillId="0" borderId="20" xfId="0" applyFont="1" applyBorder="1" applyAlignment="1">
      <alignment horizontal="center" vertical="center" wrapText="1"/>
    </xf>
    <xf numFmtId="49" fontId="23" fillId="0" borderId="20" xfId="0" applyNumberFormat="1" applyFont="1" applyBorder="1" applyAlignment="1">
      <alignment horizontal="center" vertical="center" wrapText="1"/>
    </xf>
    <xf numFmtId="49" fontId="18" fillId="0" borderId="8" xfId="0" applyNumberFormat="1" applyFont="1" applyBorder="1" applyAlignment="1"/>
    <xf numFmtId="0" fontId="23" fillId="3" borderId="20" xfId="0" applyFont="1" applyFill="1" applyBorder="1" applyAlignment="1">
      <alignment horizontal="center" vertical="center" wrapText="1"/>
    </xf>
    <xf numFmtId="0" fontId="18" fillId="3" borderId="8" xfId="0" applyFont="1" applyFill="1" applyBorder="1" applyAlignment="1"/>
    <xf numFmtId="0" fontId="17" fillId="0" borderId="7" xfId="0" applyFont="1" applyBorder="1" applyAlignment="1">
      <alignment horizontal="left" vertical="center" wrapText="1"/>
    </xf>
    <xf numFmtId="0" fontId="23" fillId="0" borderId="26" xfId="0" applyFont="1" applyBorder="1" applyAlignment="1">
      <alignment horizontal="left" vertical="center" wrapText="1"/>
    </xf>
    <xf numFmtId="0" fontId="18" fillId="0" borderId="29" xfId="0" applyFont="1" applyBorder="1" applyAlignment="1"/>
    <xf numFmtId="0" fontId="18" fillId="0" borderId="0" xfId="0" applyFont="1">
      <alignment vertical="center"/>
    </xf>
    <xf numFmtId="0" fontId="18" fillId="0" borderId="19" xfId="0" applyFont="1" applyBorder="1" applyAlignment="1"/>
    <xf numFmtId="0" fontId="18" fillId="0" borderId="22" xfId="0" applyFont="1" applyBorder="1" applyAlignment="1"/>
    <xf numFmtId="0" fontId="23" fillId="0" borderId="30" xfId="0" applyFont="1" applyBorder="1" applyAlignment="1">
      <alignment horizontal="left" vertical="center" wrapText="1"/>
    </xf>
    <xf numFmtId="9" fontId="18" fillId="0" borderId="30" xfId="0" applyNumberFormat="1" applyFont="1" applyBorder="1" applyAlignment="1">
      <alignment horizontal="center" vertical="center"/>
    </xf>
    <xf numFmtId="9" fontId="18" fillId="0" borderId="26" xfId="0" applyNumberFormat="1" applyFont="1" applyBorder="1" applyAlignment="1">
      <alignment horizontal="center" vertical="center"/>
    </xf>
    <xf numFmtId="0" fontId="23" fillId="0" borderId="2" xfId="0" applyFont="1" applyBorder="1" applyAlignment="1">
      <alignment horizontal="left" vertical="center" wrapText="1"/>
    </xf>
    <xf numFmtId="0" fontId="23" fillId="8" borderId="0" xfId="0" applyFont="1" applyFill="1" applyAlignment="1">
      <alignment horizontal="center" vertical="center" wrapText="1"/>
    </xf>
    <xf numFmtId="0" fontId="18" fillId="8" borderId="0" xfId="0" applyFont="1" applyFill="1" applyAlignment="1"/>
    <xf numFmtId="49" fontId="23" fillId="0" borderId="30" xfId="0" applyNumberFormat="1" applyFont="1" applyBorder="1" applyAlignment="1">
      <alignment horizontal="center" vertical="center" wrapText="1"/>
    </xf>
    <xf numFmtId="49" fontId="18" fillId="0" borderId="26" xfId="0" applyNumberFormat="1" applyFont="1" applyBorder="1" applyAlignment="1"/>
    <xf numFmtId="0" fontId="23" fillId="0" borderId="1" xfId="0" applyFont="1" applyBorder="1" applyAlignment="1">
      <alignment horizontal="left" vertical="center" wrapText="1"/>
    </xf>
    <xf numFmtId="0" fontId="23" fillId="9" borderId="1" xfId="0" applyFont="1" applyFill="1" applyBorder="1" applyAlignment="1">
      <alignment horizontal="left" vertical="center"/>
    </xf>
    <xf numFmtId="0" fontId="18" fillId="9" borderId="1" xfId="0" applyFont="1" applyFill="1" applyBorder="1" applyAlignment="1"/>
    <xf numFmtId="0" fontId="23" fillId="0" borderId="26" xfId="0" applyFont="1" applyBorder="1" applyAlignment="1">
      <alignment horizontal="center" vertical="center" wrapText="1"/>
    </xf>
    <xf numFmtId="0" fontId="23" fillId="0" borderId="31" xfId="0" applyFont="1" applyBorder="1" applyAlignment="1">
      <alignment horizontal="center" vertical="center" wrapText="1"/>
    </xf>
    <xf numFmtId="0" fontId="23" fillId="0" borderId="0" xfId="0" applyFont="1" applyAlignment="1">
      <alignment horizontal="center" vertical="center" wrapText="1"/>
    </xf>
    <xf numFmtId="0" fontId="23" fillId="0" borderId="21" xfId="0" applyFont="1" applyBorder="1" applyAlignment="1">
      <alignment horizontal="center" vertical="center" wrapText="1"/>
    </xf>
    <xf numFmtId="0" fontId="18" fillId="9" borderId="1" xfId="0" applyFont="1" applyFill="1" applyBorder="1">
      <alignment vertical="center"/>
    </xf>
    <xf numFmtId="0" fontId="18" fillId="9" borderId="28" xfId="0" applyFont="1" applyFill="1" applyBorder="1" applyAlignment="1"/>
    <xf numFmtId="49" fontId="23" fillId="0" borderId="26" xfId="0" applyNumberFormat="1" applyFont="1" applyBorder="1" applyAlignment="1">
      <alignment horizontal="center" vertical="center" wrapText="1"/>
    </xf>
    <xf numFmtId="0" fontId="23" fillId="3" borderId="26" xfId="0" applyFont="1" applyFill="1" applyBorder="1" applyAlignment="1">
      <alignment horizontal="center" vertical="center" wrapText="1"/>
    </xf>
    <xf numFmtId="0" fontId="18" fillId="3" borderId="26" xfId="0" applyFont="1" applyFill="1" applyBorder="1" applyAlignment="1"/>
    <xf numFmtId="0" fontId="23" fillId="8" borderId="26" xfId="0" applyFont="1" applyFill="1" applyBorder="1" applyAlignment="1">
      <alignment horizontal="center" vertical="center" wrapText="1"/>
    </xf>
    <xf numFmtId="0" fontId="18" fillId="8" borderId="26" xfId="0" applyFont="1" applyFill="1" applyBorder="1" applyAlignment="1"/>
    <xf numFmtId="0" fontId="17" fillId="0" borderId="26" xfId="0" applyFont="1" applyBorder="1" applyAlignment="1">
      <alignment horizontal="justify" vertical="center" wrapText="1"/>
    </xf>
    <xf numFmtId="0" fontId="23" fillId="0" borderId="2" xfId="0" applyFont="1" applyBorder="1" applyAlignment="1">
      <alignment horizontal="left" vertical="center"/>
    </xf>
    <xf numFmtId="0" fontId="23" fillId="0" borderId="28" xfId="0" applyFont="1" applyBorder="1" applyAlignment="1">
      <alignment horizontal="left" vertical="center"/>
    </xf>
    <xf numFmtId="0" fontId="23" fillId="8" borderId="24" xfId="0" applyFont="1" applyFill="1" applyBorder="1" applyAlignment="1">
      <alignment horizontal="center" vertical="center" wrapText="1"/>
    </xf>
    <xf numFmtId="0" fontId="18" fillId="8" borderId="21" xfId="0" applyFont="1" applyFill="1" applyBorder="1" applyAlignment="1"/>
    <xf numFmtId="0" fontId="23" fillId="0" borderId="22" xfId="0" applyFont="1" applyBorder="1" applyAlignment="1">
      <alignment horizontal="left" vertical="center"/>
    </xf>
    <xf numFmtId="10" fontId="18" fillId="0" borderId="3" xfId="2" applyNumberFormat="1" applyFont="1" applyBorder="1" applyAlignment="1">
      <alignment horizontal="center" vertical="center" wrapText="1"/>
    </xf>
    <xf numFmtId="0" fontId="18" fillId="0" borderId="3" xfId="0" applyFont="1" applyBorder="1" applyAlignment="1">
      <alignment horizontal="center" vertical="center"/>
    </xf>
    <xf numFmtId="0" fontId="18" fillId="0" borderId="2" xfId="0" applyFont="1" applyBorder="1" applyAlignment="1">
      <alignment horizontal="center" vertical="center"/>
    </xf>
    <xf numFmtId="0" fontId="23" fillId="3" borderId="28" xfId="0" applyFont="1" applyFill="1" applyBorder="1" applyAlignment="1">
      <alignment horizontal="center" vertical="center" wrapText="1"/>
    </xf>
    <xf numFmtId="0" fontId="18" fillId="3" borderId="3" xfId="0" applyFont="1" applyFill="1" applyBorder="1" applyAlignment="1"/>
    <xf numFmtId="49" fontId="18" fillId="0" borderId="3" xfId="0" applyNumberFormat="1" applyFont="1" applyBorder="1" applyAlignment="1">
      <alignment horizontal="center" vertical="center" wrapText="1"/>
    </xf>
    <xf numFmtId="49" fontId="18" fillId="0" borderId="3" xfId="0" applyNumberFormat="1" applyFont="1" applyBorder="1" applyAlignment="1"/>
    <xf numFmtId="14" fontId="18" fillId="0" borderId="3" xfId="0" applyNumberFormat="1" applyFont="1" applyBorder="1" applyAlignment="1">
      <alignment horizontal="center" vertical="center" wrapText="1"/>
    </xf>
    <xf numFmtId="0" fontId="18" fillId="0" borderId="3" xfId="0" applyFont="1" applyBorder="1" applyAlignment="1"/>
    <xf numFmtId="0" fontId="18" fillId="8" borderId="3" xfId="0" applyFont="1" applyFill="1" applyBorder="1" applyAlignment="1">
      <alignment horizontal="center" vertical="center" wrapText="1"/>
    </xf>
    <xf numFmtId="0" fontId="18" fillId="8" borderId="3" xfId="0" applyFont="1" applyFill="1" applyBorder="1" applyAlignment="1"/>
    <xf numFmtId="0" fontId="17" fillId="0" borderId="1" xfId="0" applyFont="1" applyBorder="1" applyAlignment="1">
      <alignment horizontal="left" vertical="center" wrapText="1"/>
    </xf>
    <xf numFmtId="0" fontId="18" fillId="0" borderId="3" xfId="0" applyFont="1" applyBorder="1" applyAlignment="1">
      <alignment horizontal="left" vertical="center" shrinkToFit="1"/>
    </xf>
    <xf numFmtId="0" fontId="18" fillId="0" borderId="1" xfId="0" applyFont="1" applyBorder="1" applyAlignment="1">
      <alignment horizontal="center" vertical="center"/>
    </xf>
    <xf numFmtId="0" fontId="18" fillId="0" borderId="28"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18" fillId="0" borderId="1" xfId="0" applyFont="1" applyBorder="1" applyAlignment="1">
      <alignment horizontal="center" vertical="center" wrapText="1"/>
    </xf>
    <xf numFmtId="0" fontId="18" fillId="8" borderId="2" xfId="0" applyFont="1" applyFill="1" applyBorder="1" applyAlignment="1">
      <alignment horizontal="center" vertical="center" wrapText="1"/>
    </xf>
    <xf numFmtId="0" fontId="18" fillId="8" borderId="1" xfId="0" applyFont="1" applyFill="1" applyBorder="1" applyAlignment="1"/>
    <xf numFmtId="14" fontId="18" fillId="9" borderId="25" xfId="0" applyNumberFormat="1" applyFont="1" applyFill="1" applyBorder="1" applyAlignment="1">
      <alignment horizontal="center" vertical="center" wrapText="1"/>
    </xf>
    <xf numFmtId="0" fontId="18" fillId="9" borderId="22" xfId="0" applyFont="1" applyFill="1" applyBorder="1" applyAlignment="1"/>
    <xf numFmtId="0" fontId="18" fillId="9" borderId="25" xfId="0" applyFont="1" applyFill="1" applyBorder="1" applyAlignment="1">
      <alignment horizontal="center" vertical="center" wrapText="1"/>
    </xf>
    <xf numFmtId="0" fontId="18" fillId="0" borderId="25" xfId="0" applyFont="1" applyBorder="1" applyAlignment="1">
      <alignment horizontal="center" vertical="center" wrapText="1"/>
    </xf>
    <xf numFmtId="0" fontId="18" fillId="0" borderId="24" xfId="0" applyFont="1" applyBorder="1" applyAlignment="1">
      <alignment horizontal="center" vertical="center" wrapText="1"/>
    </xf>
    <xf numFmtId="0" fontId="23" fillId="0" borderId="28" xfId="0" applyFont="1" applyBorder="1" applyAlignment="1">
      <alignment horizontal="left" vertical="center" indent="1"/>
    </xf>
    <xf numFmtId="176" fontId="23" fillId="0" borderId="2" xfId="0" applyNumberFormat="1" applyFont="1" applyBorder="1" applyAlignment="1">
      <alignment horizontal="right" vertical="center" shrinkToFit="1"/>
    </xf>
    <xf numFmtId="14" fontId="23" fillId="0" borderId="2" xfId="0" applyNumberFormat="1" applyFont="1" applyBorder="1" applyAlignment="1">
      <alignment horizontal="center" vertical="center" wrapText="1"/>
    </xf>
    <xf numFmtId="0" fontId="23" fillId="0" borderId="28" xfId="0" applyFont="1" applyBorder="1">
      <alignment vertical="center"/>
    </xf>
    <xf numFmtId="176" fontId="23" fillId="0" borderId="3" xfId="0" applyNumberFormat="1" applyFont="1" applyBorder="1" applyAlignment="1">
      <alignment horizontal="right" vertical="center" shrinkToFit="1"/>
    </xf>
    <xf numFmtId="0" fontId="17" fillId="0" borderId="1" xfId="0" applyFont="1" applyBorder="1" applyAlignment="1">
      <alignment horizontal="left" vertical="center" wrapText="1" indent="1"/>
    </xf>
    <xf numFmtId="0" fontId="23" fillId="9" borderId="28" xfId="0" applyFont="1" applyFill="1" applyBorder="1" applyAlignment="1">
      <alignment horizontal="left" vertical="center" indent="1"/>
    </xf>
    <xf numFmtId="10" fontId="23" fillId="0" borderId="2" xfId="2" applyNumberFormat="1" applyFont="1" applyBorder="1" applyAlignment="1">
      <alignment horizontal="center" vertical="center" wrapText="1"/>
    </xf>
    <xf numFmtId="0" fontId="23" fillId="9" borderId="28" xfId="0" applyFont="1" applyFill="1" applyBorder="1" applyAlignment="1">
      <alignment horizontal="left" vertical="center"/>
    </xf>
    <xf numFmtId="0" fontId="23" fillId="3" borderId="2" xfId="0" applyFont="1" applyFill="1" applyBorder="1" applyAlignment="1">
      <alignment horizontal="center" vertical="center" wrapText="1"/>
    </xf>
    <xf numFmtId="0" fontId="18" fillId="3" borderId="1" xfId="0" applyFont="1" applyFill="1" applyBorder="1" applyAlignment="1"/>
    <xf numFmtId="0" fontId="23" fillId="0" borderId="22" xfId="0" applyFont="1" applyBorder="1">
      <alignment vertical="center"/>
    </xf>
    <xf numFmtId="0" fontId="23" fillId="0" borderId="25" xfId="0" applyFont="1" applyBorder="1" applyAlignment="1">
      <alignment horizontal="center" vertical="center"/>
    </xf>
    <xf numFmtId="0" fontId="23" fillId="8" borderId="2" xfId="0" applyFont="1" applyFill="1" applyBorder="1" applyAlignment="1">
      <alignment horizontal="center" vertical="center" wrapText="1"/>
    </xf>
    <xf numFmtId="49" fontId="23" fillId="0" borderId="2" xfId="0" applyNumberFormat="1" applyFont="1" applyBorder="1" applyAlignment="1">
      <alignment horizontal="center" vertical="center" wrapText="1"/>
    </xf>
    <xf numFmtId="0" fontId="23" fillId="9" borderId="22" xfId="0" applyFont="1" applyFill="1" applyBorder="1" applyAlignment="1">
      <alignment horizontal="left" vertical="center"/>
    </xf>
    <xf numFmtId="0" fontId="18" fillId="9" borderId="21" xfId="0" applyFont="1" applyFill="1" applyBorder="1" applyAlignment="1"/>
    <xf numFmtId="10" fontId="23" fillId="0" borderId="3" xfId="2" applyNumberFormat="1" applyFont="1" applyBorder="1" applyAlignment="1">
      <alignment horizontal="center" vertical="center"/>
    </xf>
    <xf numFmtId="0" fontId="23" fillId="0" borderId="22" xfId="0" applyFont="1" applyBorder="1" applyAlignment="1">
      <alignment horizontal="center" vertical="center"/>
    </xf>
    <xf numFmtId="0" fontId="23" fillId="0" borderId="25" xfId="0" applyFont="1" applyBorder="1" applyAlignment="1">
      <alignment horizontal="center" vertical="center" wrapText="1"/>
    </xf>
    <xf numFmtId="0" fontId="17" fillId="2" borderId="26" xfId="0" applyFont="1" applyFill="1" applyBorder="1" applyAlignment="1">
      <alignment horizontal="center" vertical="center" wrapText="1"/>
    </xf>
    <xf numFmtId="0" fontId="19" fillId="2" borderId="26" xfId="0" applyFont="1" applyFill="1" applyBorder="1" applyAlignment="1"/>
    <xf numFmtId="0" fontId="23" fillId="2" borderId="58" xfId="0" applyFont="1" applyFill="1" applyBorder="1" applyAlignment="1">
      <alignment horizontal="left" vertical="center"/>
    </xf>
    <xf numFmtId="0" fontId="18" fillId="2" borderId="59" xfId="0" applyFont="1" applyFill="1" applyBorder="1" applyAlignment="1"/>
    <xf numFmtId="0" fontId="18" fillId="2" borderId="58" xfId="0" applyFont="1" applyFill="1" applyBorder="1" applyAlignment="1"/>
    <xf numFmtId="0" fontId="17" fillId="2" borderId="59" xfId="0" applyFont="1" applyFill="1" applyBorder="1" applyAlignment="1">
      <alignment horizontal="center" vertical="center" wrapText="1"/>
    </xf>
    <xf numFmtId="0" fontId="19" fillId="2" borderId="59" xfId="0" applyFont="1" applyFill="1" applyBorder="1" applyAlignment="1"/>
    <xf numFmtId="0" fontId="30" fillId="0" borderId="57" xfId="0" applyFont="1" applyBorder="1" applyAlignment="1">
      <alignment horizontal="left" vertical="center" wrapText="1"/>
    </xf>
    <xf numFmtId="0" fontId="17" fillId="0" borderId="26" xfId="0" applyFont="1" applyBorder="1" applyAlignment="1">
      <alignment horizontal="left" vertical="center" wrapText="1"/>
    </xf>
    <xf numFmtId="10" fontId="23" fillId="2" borderId="30" xfId="2" applyNumberFormat="1" applyFont="1" applyFill="1" applyBorder="1" applyAlignment="1">
      <alignment horizontal="center" vertical="center" wrapText="1"/>
    </xf>
    <xf numFmtId="10" fontId="23" fillId="2" borderId="26" xfId="2" applyNumberFormat="1" applyFont="1" applyFill="1" applyBorder="1" applyAlignment="1">
      <alignment horizontal="center" vertical="center" wrapText="1"/>
    </xf>
    <xf numFmtId="10" fontId="23" fillId="2" borderId="31" xfId="2" applyNumberFormat="1" applyFont="1" applyFill="1" applyBorder="1" applyAlignment="1">
      <alignment horizontal="center" vertical="center" wrapText="1"/>
    </xf>
    <xf numFmtId="10" fontId="23" fillId="2" borderId="0" xfId="2" applyNumberFormat="1" applyFont="1" applyFill="1" applyAlignment="1">
      <alignment horizontal="center" vertical="center" wrapText="1"/>
    </xf>
    <xf numFmtId="10" fontId="23" fillId="2" borderId="24" xfId="2" applyNumberFormat="1" applyFont="1" applyFill="1" applyBorder="1" applyAlignment="1">
      <alignment horizontal="center" vertical="center" wrapText="1"/>
    </xf>
    <xf numFmtId="10" fontId="23" fillId="2" borderId="21" xfId="2" applyNumberFormat="1" applyFont="1" applyFill="1" applyBorder="1" applyAlignment="1">
      <alignment horizontal="center" vertical="center" wrapText="1"/>
    </xf>
    <xf numFmtId="0" fontId="23" fillId="2" borderId="0" xfId="0" applyFont="1" applyFill="1" applyAlignment="1">
      <alignment horizontal="center" vertical="center" wrapText="1"/>
    </xf>
    <xf numFmtId="0" fontId="18" fillId="2" borderId="0" xfId="0" applyFont="1" applyFill="1" applyAlignment="1"/>
    <xf numFmtId="0" fontId="23" fillId="0" borderId="26" xfId="0" applyFont="1" applyBorder="1" applyAlignment="1">
      <alignment horizontal="justify" vertical="center" wrapText="1"/>
    </xf>
    <xf numFmtId="0" fontId="17" fillId="0" borderId="59" xfId="0" applyFont="1" applyBorder="1" applyAlignment="1">
      <alignment horizontal="justify" vertical="center" wrapText="1"/>
    </xf>
    <xf numFmtId="0" fontId="18" fillId="0" borderId="59" xfId="0" applyFont="1" applyBorder="1" applyAlignment="1"/>
    <xf numFmtId="0" fontId="30" fillId="2" borderId="22" xfId="0" applyFont="1" applyFill="1" applyBorder="1" applyAlignment="1">
      <alignment horizontal="left" vertical="center"/>
    </xf>
    <xf numFmtId="0" fontId="8" fillId="2" borderId="21" xfId="0" applyFont="1" applyFill="1" applyBorder="1" applyAlignment="1"/>
    <xf numFmtId="0" fontId="8" fillId="2" borderId="22" xfId="0" applyFont="1" applyFill="1" applyBorder="1" applyAlignment="1"/>
    <xf numFmtId="0" fontId="30" fillId="2" borderId="0" xfId="0" applyFont="1" applyFill="1" applyAlignment="1">
      <alignment horizontal="center" vertical="center" wrapText="1"/>
    </xf>
    <xf numFmtId="0" fontId="8" fillId="2" borderId="0" xfId="0" applyFont="1" applyFill="1" applyAlignment="1"/>
    <xf numFmtId="0" fontId="23" fillId="2" borderId="28" xfId="0" applyFont="1" applyFill="1" applyBorder="1" applyAlignment="1">
      <alignment horizontal="left" vertical="center"/>
    </xf>
    <xf numFmtId="0" fontId="18" fillId="2" borderId="1" xfId="0" applyFont="1" applyFill="1" applyBorder="1" applyAlignment="1"/>
    <xf numFmtId="0" fontId="18" fillId="2" borderId="28" xfId="0" applyFont="1" applyFill="1" applyBorder="1" applyAlignment="1"/>
    <xf numFmtId="0" fontId="17" fillId="0" borderId="1" xfId="0" applyFont="1" applyBorder="1" applyAlignment="1">
      <alignment vertical="center" wrapText="1"/>
    </xf>
    <xf numFmtId="176" fontId="23" fillId="0" borderId="21" xfId="0" applyNumberFormat="1" applyFont="1" applyBorder="1" applyAlignment="1">
      <alignment horizontal="right" vertical="center" shrinkToFit="1"/>
    </xf>
    <xf numFmtId="0" fontId="17" fillId="0" borderId="1" xfId="0" applyFont="1" applyBorder="1" applyAlignment="1">
      <alignment horizontal="center" vertical="center" wrapText="1"/>
    </xf>
    <xf numFmtId="0" fontId="23" fillId="0" borderId="1" xfId="0" applyFont="1" applyBorder="1" applyAlignment="1">
      <alignment horizontal="left" vertical="center"/>
    </xf>
    <xf numFmtId="176" fontId="23" fillId="0" borderId="1" xfId="0" applyNumberFormat="1" applyFont="1" applyBorder="1" applyAlignment="1">
      <alignment horizontal="right" vertical="center" shrinkToFit="1"/>
    </xf>
    <xf numFmtId="176" fontId="23" fillId="0" borderId="28" xfId="0" applyNumberFormat="1" applyFont="1" applyBorder="1" applyAlignment="1">
      <alignment horizontal="right" vertical="center" shrinkToFit="1"/>
    </xf>
    <xf numFmtId="0" fontId="23" fillId="0" borderId="21" xfId="0" applyFont="1" applyBorder="1" applyAlignment="1">
      <alignment horizontal="left" vertical="center"/>
    </xf>
    <xf numFmtId="0" fontId="17" fillId="0" borderId="26" xfId="0" applyFont="1" applyBorder="1" applyAlignment="1">
      <alignment vertical="center" wrapText="1"/>
    </xf>
    <xf numFmtId="0" fontId="23" fillId="0" borderId="1" xfId="0" applyFont="1" applyBorder="1" applyAlignment="1">
      <alignment horizontal="center" vertical="center" wrapText="1"/>
    </xf>
    <xf numFmtId="0" fontId="17" fillId="0" borderId="1" xfId="0" applyFont="1" applyBorder="1" applyAlignment="1">
      <alignment horizontal="center" vertical="center"/>
    </xf>
    <xf numFmtId="0" fontId="23" fillId="0" borderId="1" xfId="0" applyFont="1" applyBorder="1" applyAlignment="1">
      <alignment horizontal="center" vertical="center"/>
    </xf>
    <xf numFmtId="0" fontId="23" fillId="0" borderId="2" xfId="0" applyFont="1" applyBorder="1" applyAlignment="1">
      <alignment horizontal="center" vertical="center"/>
    </xf>
    <xf numFmtId="0" fontId="18" fillId="0" borderId="26" xfId="0" applyFont="1" applyBorder="1" applyAlignment="1">
      <alignment horizontal="center" vertical="center" wrapText="1"/>
    </xf>
    <xf numFmtId="0" fontId="18" fillId="0" borderId="30" xfId="0" applyFont="1" applyBorder="1">
      <alignment vertical="center"/>
    </xf>
    <xf numFmtId="176" fontId="23" fillId="0" borderId="26" xfId="0" applyNumberFormat="1" applyFont="1" applyBorder="1" applyAlignment="1">
      <alignment horizontal="right" vertical="center" shrinkToFit="1"/>
    </xf>
    <xf numFmtId="0" fontId="18" fillId="0" borderId="2" xfId="0" applyFont="1" applyBorder="1">
      <alignment vertical="center"/>
    </xf>
    <xf numFmtId="0" fontId="18" fillId="0" borderId="26" xfId="0" applyFont="1" applyBorder="1" applyAlignment="1">
      <alignment horizontal="left" vertical="center" wrapText="1"/>
    </xf>
    <xf numFmtId="0" fontId="23" fillId="0" borderId="26" xfId="0" applyFont="1" applyBorder="1" applyAlignment="1">
      <alignment horizontal="left" vertical="center"/>
    </xf>
    <xf numFmtId="0" fontId="17" fillId="0" borderId="26" xfId="0" applyFont="1" applyBorder="1" applyAlignment="1">
      <alignment horizontal="center" vertical="center" wrapText="1"/>
    </xf>
    <xf numFmtId="176" fontId="23" fillId="0" borderId="0" xfId="0" applyNumberFormat="1" applyFont="1" applyAlignment="1">
      <alignment horizontal="right" vertical="center" shrinkToFit="1"/>
    </xf>
    <xf numFmtId="0" fontId="23" fillId="0" borderId="1" xfId="0" applyFont="1" applyBorder="1">
      <alignment vertical="center"/>
    </xf>
    <xf numFmtId="0" fontId="18" fillId="0" borderId="1" xfId="0" applyFont="1" applyBorder="1" applyAlignment="1">
      <alignment horizontal="center"/>
    </xf>
    <xf numFmtId="0" fontId="18" fillId="0" borderId="28" xfId="0" applyFont="1" applyBorder="1" applyAlignment="1">
      <alignment horizontal="center"/>
    </xf>
    <xf numFmtId="0" fontId="23" fillId="0" borderId="28" xfId="0" applyFont="1" applyBorder="1" applyAlignment="1">
      <alignment vertical="center" wrapText="1"/>
    </xf>
    <xf numFmtId="0" fontId="23" fillId="0" borderId="28" xfId="0" applyFont="1" applyBorder="1" applyAlignment="1">
      <alignment horizontal="center" vertical="center"/>
    </xf>
    <xf numFmtId="0" fontId="23" fillId="0" borderId="33" xfId="0" applyFont="1" applyBorder="1" applyAlignment="1">
      <alignment horizontal="center" vertical="center" wrapText="1"/>
    </xf>
    <xf numFmtId="0" fontId="18" fillId="0" borderId="34" xfId="0" applyFont="1" applyBorder="1" applyAlignment="1"/>
    <xf numFmtId="0" fontId="18" fillId="0" borderId="35" xfId="0" applyFont="1" applyBorder="1" applyAlignment="1"/>
    <xf numFmtId="176" fontId="23" fillId="0" borderId="4" xfId="0" applyNumberFormat="1" applyFont="1" applyBorder="1" applyAlignment="1">
      <alignment horizontal="right" vertical="center" shrinkToFit="1"/>
    </xf>
    <xf numFmtId="0" fontId="18" fillId="0" borderId="4" xfId="0" applyFont="1" applyBorder="1" applyAlignment="1"/>
    <xf numFmtId="176" fontId="17" fillId="0" borderId="13" xfId="0" applyNumberFormat="1" applyFont="1" applyBorder="1" applyAlignment="1">
      <alignment horizontal="right" vertical="center" shrinkToFit="1"/>
    </xf>
    <xf numFmtId="0" fontId="18" fillId="0" borderId="36" xfId="0" applyFont="1" applyBorder="1" applyAlignment="1"/>
    <xf numFmtId="0" fontId="17" fillId="0" borderId="22" xfId="0" applyFont="1" applyBorder="1" applyAlignment="1">
      <alignment horizontal="left" vertical="center"/>
    </xf>
    <xf numFmtId="0" fontId="17" fillId="0" borderId="28" xfId="0" applyFont="1" applyBorder="1" applyAlignment="1">
      <alignment horizontal="left" vertical="center"/>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18" fillId="0" borderId="24" xfId="0" applyFont="1" applyBorder="1" applyAlignment="1"/>
    <xf numFmtId="0" fontId="18" fillId="0" borderId="25" xfId="0" applyFont="1" applyBorder="1" applyAlignment="1">
      <alignment horizontal="center" vertical="center"/>
    </xf>
    <xf numFmtId="176" fontId="23" fillId="0" borderId="2" xfId="0" applyNumberFormat="1" applyFont="1" applyBorder="1" applyAlignment="1">
      <alignment horizontal="center" vertical="center" shrinkToFit="1"/>
    </xf>
    <xf numFmtId="0" fontId="17" fillId="0" borderId="21" xfId="0" applyFont="1" applyBorder="1" applyAlignment="1">
      <alignment horizontal="left" vertical="center" wrapText="1"/>
    </xf>
    <xf numFmtId="10" fontId="18" fillId="0" borderId="1" xfId="0" applyNumberFormat="1" applyFont="1" applyBorder="1" applyAlignment="1"/>
    <xf numFmtId="10" fontId="18" fillId="0" borderId="28" xfId="0" applyNumberFormat="1" applyFont="1" applyBorder="1" applyAlignment="1"/>
    <xf numFmtId="0" fontId="19" fillId="0" borderId="22" xfId="0" applyFont="1" applyBorder="1" applyAlignment="1">
      <alignment horizontal="center" vertical="center"/>
    </xf>
    <xf numFmtId="0" fontId="19" fillId="0" borderId="3" xfId="0" applyFont="1" applyBorder="1" applyAlignment="1">
      <alignment horizontal="center" vertical="center"/>
    </xf>
    <xf numFmtId="0" fontId="19" fillId="0" borderId="1" xfId="0" applyFont="1" applyBorder="1" applyAlignment="1">
      <alignment horizontal="center" vertical="center"/>
    </xf>
    <xf numFmtId="0" fontId="23" fillId="0" borderId="22" xfId="0" applyFont="1" applyBorder="1" applyAlignment="1">
      <alignment horizontal="center" vertical="center" wrapText="1"/>
    </xf>
    <xf numFmtId="3" fontId="18" fillId="0" borderId="2" xfId="2" applyNumberFormat="1" applyFont="1" applyBorder="1" applyAlignment="1">
      <alignment horizontal="right" vertical="center"/>
    </xf>
    <xf numFmtId="3" fontId="18" fillId="0" borderId="1" xfId="2" applyNumberFormat="1" applyFont="1" applyBorder="1" applyAlignment="1">
      <alignment horizontal="right" vertical="center"/>
    </xf>
    <xf numFmtId="3" fontId="18" fillId="0" borderId="28" xfId="2" applyNumberFormat="1" applyFont="1" applyBorder="1" applyAlignment="1">
      <alignment horizontal="right" vertical="center"/>
    </xf>
    <xf numFmtId="0" fontId="23" fillId="0" borderId="3" xfId="0" applyFont="1" applyBorder="1">
      <alignment vertical="center"/>
    </xf>
    <xf numFmtId="176" fontId="18" fillId="0" borderId="24" xfId="0" applyNumberFormat="1" applyFont="1" applyBorder="1" applyAlignment="1">
      <alignment horizontal="right" vertical="center" shrinkToFit="1"/>
    </xf>
    <xf numFmtId="0" fontId="18" fillId="0" borderId="3" xfId="0" applyFont="1" applyBorder="1" applyAlignment="1">
      <alignment horizontal="left" vertical="center"/>
    </xf>
    <xf numFmtId="176" fontId="18" fillId="0" borderId="3" xfId="0" applyNumberFormat="1" applyFont="1" applyBorder="1" applyAlignment="1">
      <alignment horizontal="right" vertical="center" shrinkToFit="1"/>
    </xf>
    <xf numFmtId="0" fontId="18" fillId="8" borderId="28" xfId="0" applyFont="1" applyFill="1" applyBorder="1" applyAlignment="1">
      <alignment horizontal="center" vertical="center" wrapText="1"/>
    </xf>
    <xf numFmtId="0" fontId="18" fillId="8" borderId="22" xfId="0" applyFont="1" applyFill="1" applyBorder="1" applyAlignment="1"/>
    <xf numFmtId="10" fontId="23" fillId="0" borderId="1" xfId="2" applyNumberFormat="1" applyFont="1" applyBorder="1" applyAlignment="1">
      <alignment horizontal="center" vertical="center" wrapText="1"/>
    </xf>
    <xf numFmtId="0" fontId="18" fillId="0" borderId="21" xfId="0" applyFont="1" applyBorder="1" applyAlignment="1">
      <alignment horizontal="center" vertical="center"/>
    </xf>
    <xf numFmtId="0" fontId="30" fillId="0" borderId="0" xfId="0" applyFont="1" applyAlignment="1">
      <alignment horizontal="left" vertical="center" wrapText="1"/>
    </xf>
    <xf numFmtId="49" fontId="23" fillId="0" borderId="28" xfId="0" applyNumberFormat="1" applyFont="1" applyBorder="1" applyAlignment="1">
      <alignment horizontal="center" vertical="center"/>
    </xf>
    <xf numFmtId="0" fontId="17" fillId="0" borderId="59" xfId="0" applyFont="1" applyBorder="1" applyAlignment="1">
      <alignment horizontal="left" vertical="center" wrapText="1"/>
    </xf>
    <xf numFmtId="0" fontId="8" fillId="2" borderId="56" xfId="0" applyFont="1" applyFill="1" applyBorder="1" applyAlignment="1">
      <alignment horizontal="left" vertical="center"/>
    </xf>
    <xf numFmtId="0" fontId="8" fillId="2" borderId="56" xfId="0" applyFont="1" applyFill="1" applyBorder="1" applyAlignment="1"/>
    <xf numFmtId="0" fontId="8" fillId="2" borderId="56" xfId="0" applyFont="1" applyFill="1" applyBorder="1" applyAlignment="1">
      <alignment horizontal="center" vertical="center" wrapText="1"/>
    </xf>
    <xf numFmtId="0" fontId="17" fillId="0" borderId="21" xfId="0" applyFont="1" applyBorder="1" applyAlignment="1">
      <alignment horizontal="left" vertical="center"/>
    </xf>
    <xf numFmtId="176" fontId="23" fillId="0" borderId="24" xfId="0" applyNumberFormat="1" applyFont="1" applyBorder="1" applyAlignment="1">
      <alignment horizontal="right" vertical="center" shrinkToFit="1"/>
    </xf>
    <xf numFmtId="0" fontId="17" fillId="0" borderId="25" xfId="0" applyFont="1" applyBorder="1" applyAlignment="1">
      <alignment horizontal="center" vertical="center" wrapText="1"/>
    </xf>
    <xf numFmtId="176" fontId="23" fillId="0" borderId="37" xfId="0" applyNumberFormat="1" applyFont="1" applyBorder="1" applyAlignment="1">
      <alignment horizontal="right" vertical="center" shrinkToFit="1"/>
    </xf>
    <xf numFmtId="176" fontId="23" fillId="0" borderId="30" xfId="0" applyNumberFormat="1" applyFont="1" applyBorder="1" applyAlignment="1">
      <alignment horizontal="right" vertical="center" shrinkToFit="1"/>
    </xf>
    <xf numFmtId="176" fontId="23" fillId="0" borderId="3" xfId="0" applyNumberFormat="1" applyFont="1" applyBorder="1" applyAlignment="1">
      <alignment horizontal="right" vertical="center"/>
    </xf>
    <xf numFmtId="0" fontId="23" fillId="8" borderId="28" xfId="0" applyFont="1" applyFill="1" applyBorder="1" applyAlignment="1">
      <alignment horizontal="center" vertical="center" wrapText="1"/>
    </xf>
    <xf numFmtId="0" fontId="23" fillId="0" borderId="28" xfId="0" applyFont="1" applyBorder="1" applyAlignment="1">
      <alignment horizontal="left" vertical="center" wrapText="1"/>
    </xf>
    <xf numFmtId="0" fontId="17" fillId="0" borderId="1" xfId="0" applyFont="1" applyBorder="1" applyAlignment="1">
      <alignment horizontal="left" vertical="center"/>
    </xf>
    <xf numFmtId="176" fontId="23" fillId="0" borderId="1" xfId="0" applyNumberFormat="1" applyFont="1" applyBorder="1" applyAlignment="1">
      <alignment horizontal="right" vertical="center"/>
    </xf>
    <xf numFmtId="0" fontId="17" fillId="0" borderId="3" xfId="0" applyFont="1" applyBorder="1" applyAlignment="1">
      <alignment horizontal="left" vertical="center"/>
    </xf>
    <xf numFmtId="0" fontId="19" fillId="0" borderId="22" xfId="0" applyFont="1" applyBorder="1" applyAlignment="1">
      <alignment horizontal="left" vertical="center"/>
    </xf>
    <xf numFmtId="0" fontId="23" fillId="0" borderId="25" xfId="0" applyFont="1" applyBorder="1">
      <alignment vertical="center"/>
    </xf>
    <xf numFmtId="0" fontId="19" fillId="0" borderId="28" xfId="0" applyFont="1" applyBorder="1" applyAlignment="1">
      <alignment horizontal="left" vertical="center"/>
    </xf>
    <xf numFmtId="0" fontId="23" fillId="0" borderId="22" xfId="0" applyFont="1" applyBorder="1" applyAlignment="1">
      <alignment horizontal="left" vertical="center" wrapText="1" indent="2"/>
    </xf>
    <xf numFmtId="0" fontId="23" fillId="0" borderId="3" xfId="0" applyFont="1" applyBorder="1" applyAlignment="1">
      <alignment horizontal="left" vertical="center" indent="2"/>
    </xf>
    <xf numFmtId="0" fontId="23" fillId="0" borderId="2" xfId="0" applyFont="1" applyBorder="1" applyAlignment="1">
      <alignment horizontal="left" vertical="center" wrapText="1" indent="2"/>
    </xf>
    <xf numFmtId="0" fontId="18" fillId="0" borderId="28" xfId="0" applyFont="1" applyBorder="1" applyAlignment="1">
      <alignment horizontal="left" vertical="center"/>
    </xf>
    <xf numFmtId="0" fontId="23" fillId="8" borderId="2" xfId="0" applyFont="1" applyFill="1" applyBorder="1" applyAlignment="1">
      <alignment horizontal="center" vertical="center" wrapText="1" shrinkToFit="1"/>
    </xf>
    <xf numFmtId="0" fontId="18" fillId="8" borderId="1" xfId="0" applyFont="1" applyFill="1" applyBorder="1" applyAlignment="1">
      <alignment horizontal="center" wrapText="1"/>
    </xf>
    <xf numFmtId="10" fontId="23" fillId="0" borderId="2" xfId="2" applyNumberFormat="1" applyFont="1" applyBorder="1" applyAlignment="1">
      <alignment horizontal="center" vertical="center" shrinkToFit="1"/>
    </xf>
    <xf numFmtId="0" fontId="18" fillId="0" borderId="22" xfId="0" applyFont="1" applyBorder="1" applyAlignment="1">
      <alignment vertical="center" wrapText="1"/>
    </xf>
    <xf numFmtId="0" fontId="18" fillId="0" borderId="28" xfId="0" applyFont="1" applyBorder="1" applyAlignment="1">
      <alignment vertical="center" wrapText="1"/>
    </xf>
  </cellXfs>
  <cellStyles count="4">
    <cellStyle name="백분율" xfId="2" builtinId="5"/>
    <cellStyle name="표준" xfId="0" builtinId="0"/>
    <cellStyle name="표준 2" xfId="1" xr:uid="{00000000-0005-0000-0000-000001000000}"/>
    <cellStyle name="하이퍼링크" xfId="3" builtinId="8"/>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09140-2E6D-46C2-9CD7-AEAE74B8FD55}">
  <sheetPr codeName="Sheet1">
    <tabColor theme="9" tint="0.79998168889431442"/>
    <pageSetUpPr fitToPage="1"/>
  </sheetPr>
  <dimension ref="B2:F83"/>
  <sheetViews>
    <sheetView showGridLines="0" tabSelected="1" view="pageBreakPreview" topLeftCell="A31" zoomScale="60" zoomScaleNormal="70" workbookViewId="0">
      <selection activeCell="E33" sqref="E33"/>
    </sheetView>
  </sheetViews>
  <sheetFormatPr defaultRowHeight="17.600000000000001" x14ac:dyDescent="0.55000000000000004"/>
  <cols>
    <col min="1" max="1" width="2.85546875" customWidth="1"/>
    <col min="2" max="2" width="19.0703125" style="5" bestFit="1" customWidth="1"/>
    <col min="3" max="3" width="11.28515625" style="5" customWidth="1"/>
    <col min="4" max="4" width="39.2109375" style="8" customWidth="1"/>
    <col min="5" max="5" width="59.0703125" style="9" customWidth="1"/>
    <col min="6" max="6" width="20.5703125" style="5" customWidth="1"/>
  </cols>
  <sheetData>
    <row r="2" spans="2:6" x14ac:dyDescent="0.55000000000000004">
      <c r="B2" s="10" t="s">
        <v>0</v>
      </c>
      <c r="C2" s="10" t="s">
        <v>1</v>
      </c>
      <c r="D2" s="11" t="s">
        <v>2</v>
      </c>
      <c r="E2" s="11" t="s">
        <v>3</v>
      </c>
      <c r="F2" s="11" t="s">
        <v>4</v>
      </c>
    </row>
    <row r="3" spans="2:6" ht="158.15" x14ac:dyDescent="0.55000000000000004">
      <c r="B3" s="6" t="s">
        <v>1177</v>
      </c>
      <c r="C3" s="16"/>
      <c r="D3" s="12" t="s">
        <v>5</v>
      </c>
      <c r="E3" s="13" t="s">
        <v>788</v>
      </c>
      <c r="F3" s="17"/>
    </row>
    <row r="4" spans="2:6" ht="105.45" x14ac:dyDescent="0.55000000000000004">
      <c r="B4" s="6" t="s">
        <v>1177</v>
      </c>
      <c r="C4" s="16"/>
      <c r="D4" s="12" t="s">
        <v>7</v>
      </c>
      <c r="E4" s="13" t="s">
        <v>8</v>
      </c>
      <c r="F4" s="17"/>
    </row>
    <row r="5" spans="2:6" ht="158.15" x14ac:dyDescent="0.55000000000000004">
      <c r="B5" s="6" t="s">
        <v>1177</v>
      </c>
      <c r="C5" s="16"/>
      <c r="D5" s="12" t="s">
        <v>9</v>
      </c>
      <c r="E5" s="13" t="s">
        <v>6</v>
      </c>
      <c r="F5" s="17"/>
    </row>
    <row r="6" spans="2:6" ht="52.75" customHeight="1" x14ac:dyDescent="0.55000000000000004">
      <c r="B6" s="6" t="s">
        <v>10</v>
      </c>
      <c r="C6" s="6" t="s">
        <v>11</v>
      </c>
      <c r="D6" s="12" t="s">
        <v>12</v>
      </c>
      <c r="E6" s="13" t="s">
        <v>13</v>
      </c>
      <c r="F6" s="6"/>
    </row>
    <row r="7" spans="2:6" ht="158.15" customHeight="1" x14ac:dyDescent="0.55000000000000004">
      <c r="B7" s="6" t="s">
        <v>10</v>
      </c>
      <c r="C7" s="6" t="s">
        <v>14</v>
      </c>
      <c r="D7" s="12" t="s">
        <v>15</v>
      </c>
      <c r="E7" s="13" t="s">
        <v>6</v>
      </c>
      <c r="F7" s="6"/>
    </row>
    <row r="8" spans="2:6" ht="88" customHeight="1" x14ac:dyDescent="0.55000000000000004">
      <c r="B8" s="6" t="s">
        <v>10</v>
      </c>
      <c r="C8" s="6" t="s">
        <v>16</v>
      </c>
      <c r="D8" s="12" t="s">
        <v>17</v>
      </c>
      <c r="E8" s="13" t="s">
        <v>18</v>
      </c>
      <c r="F8" s="6"/>
    </row>
    <row r="9" spans="2:6" x14ac:dyDescent="0.55000000000000004">
      <c r="B9" s="6" t="s">
        <v>10</v>
      </c>
      <c r="C9" s="6" t="s">
        <v>19</v>
      </c>
      <c r="D9" s="12" t="s">
        <v>20</v>
      </c>
      <c r="E9" s="13" t="s">
        <v>21</v>
      </c>
      <c r="F9" s="6"/>
    </row>
    <row r="10" spans="2:6" x14ac:dyDescent="0.55000000000000004">
      <c r="B10" s="6" t="s">
        <v>10</v>
      </c>
      <c r="C10" s="6" t="s">
        <v>22</v>
      </c>
      <c r="D10" s="12" t="s">
        <v>23</v>
      </c>
      <c r="E10" s="13" t="s">
        <v>21</v>
      </c>
      <c r="F10" s="6"/>
    </row>
    <row r="11" spans="2:6" ht="88" customHeight="1" x14ac:dyDescent="0.55000000000000004">
      <c r="B11" s="6" t="s">
        <v>10</v>
      </c>
      <c r="C11" s="6" t="s">
        <v>24</v>
      </c>
      <c r="D11" s="12" t="s">
        <v>25</v>
      </c>
      <c r="E11" s="13" t="s">
        <v>26</v>
      </c>
      <c r="F11" s="6"/>
    </row>
    <row r="12" spans="2:6" x14ac:dyDescent="0.55000000000000004">
      <c r="B12" s="6" t="s">
        <v>10</v>
      </c>
      <c r="C12" s="6" t="s">
        <v>27</v>
      </c>
      <c r="D12" s="12" t="s">
        <v>28</v>
      </c>
      <c r="E12" s="13" t="s">
        <v>29</v>
      </c>
      <c r="F12" s="6"/>
    </row>
    <row r="13" spans="2:6" ht="88" customHeight="1" x14ac:dyDescent="0.55000000000000004">
      <c r="B13" s="6" t="s">
        <v>30</v>
      </c>
      <c r="C13" s="6" t="s">
        <v>31</v>
      </c>
      <c r="D13" s="12" t="s">
        <v>32</v>
      </c>
      <c r="E13" s="13" t="s">
        <v>33</v>
      </c>
      <c r="F13" s="6" t="s">
        <v>34</v>
      </c>
    </row>
    <row r="14" spans="2:6" ht="158.15" customHeight="1" x14ac:dyDescent="0.55000000000000004">
      <c r="B14" s="6" t="s">
        <v>30</v>
      </c>
      <c r="C14" s="6" t="s">
        <v>35</v>
      </c>
      <c r="D14" s="12" t="s">
        <v>36</v>
      </c>
      <c r="E14" s="13" t="s">
        <v>6</v>
      </c>
      <c r="F14" s="6"/>
    </row>
    <row r="15" spans="2:6" ht="369" customHeight="1" x14ac:dyDescent="0.55000000000000004">
      <c r="B15" s="6" t="s">
        <v>30</v>
      </c>
      <c r="C15" s="6" t="s">
        <v>37</v>
      </c>
      <c r="D15" s="12" t="s">
        <v>38</v>
      </c>
      <c r="E15" s="13" t="s">
        <v>39</v>
      </c>
      <c r="F15" s="6" t="s">
        <v>34</v>
      </c>
    </row>
    <row r="16" spans="2:6" ht="105.45" customHeight="1" x14ac:dyDescent="0.55000000000000004">
      <c r="B16" s="6" t="s">
        <v>30</v>
      </c>
      <c r="C16" s="6" t="s">
        <v>40</v>
      </c>
      <c r="D16" s="12" t="s">
        <v>41</v>
      </c>
      <c r="E16" s="13" t="s">
        <v>42</v>
      </c>
      <c r="F16" s="6"/>
    </row>
    <row r="17" spans="2:6" x14ac:dyDescent="0.55000000000000004">
      <c r="B17" s="6" t="s">
        <v>30</v>
      </c>
      <c r="C17" s="6" t="s">
        <v>43</v>
      </c>
      <c r="D17" s="5" t="s">
        <v>44</v>
      </c>
      <c r="E17" s="13" t="s">
        <v>21</v>
      </c>
      <c r="F17" s="6" t="s">
        <v>34</v>
      </c>
    </row>
    <row r="18" spans="2:6" x14ac:dyDescent="0.55000000000000004">
      <c r="B18" s="6" t="s">
        <v>45</v>
      </c>
      <c r="C18" s="6" t="s">
        <v>46</v>
      </c>
      <c r="D18" s="12" t="s">
        <v>47</v>
      </c>
      <c r="E18" s="13" t="s">
        <v>21</v>
      </c>
      <c r="F18" s="6" t="s">
        <v>34</v>
      </c>
    </row>
    <row r="19" spans="2:6" ht="88" customHeight="1" x14ac:dyDescent="0.55000000000000004">
      <c r="B19" s="6" t="s">
        <v>45</v>
      </c>
      <c r="C19" s="6" t="s">
        <v>48</v>
      </c>
      <c r="D19" s="12" t="s">
        <v>32</v>
      </c>
      <c r="E19" s="13" t="s">
        <v>33</v>
      </c>
      <c r="F19" s="6" t="s">
        <v>34</v>
      </c>
    </row>
    <row r="20" spans="2:6" ht="52.75" customHeight="1" x14ac:dyDescent="0.55000000000000004">
      <c r="B20" s="6" t="s">
        <v>45</v>
      </c>
      <c r="C20" s="6" t="s">
        <v>49</v>
      </c>
      <c r="D20" s="5" t="s">
        <v>50</v>
      </c>
      <c r="E20" s="13" t="s">
        <v>51</v>
      </c>
      <c r="F20" s="6"/>
    </row>
    <row r="21" spans="2:6" ht="158.15" customHeight="1" x14ac:dyDescent="0.55000000000000004">
      <c r="B21" s="6" t="s">
        <v>45</v>
      </c>
      <c r="C21" s="6" t="s">
        <v>52</v>
      </c>
      <c r="D21" s="12" t="s">
        <v>15</v>
      </c>
      <c r="E21" s="13" t="s">
        <v>6</v>
      </c>
      <c r="F21" s="6"/>
    </row>
    <row r="22" spans="2:6" ht="316.39999999999998" customHeight="1" x14ac:dyDescent="0.55000000000000004">
      <c r="B22" s="6" t="s">
        <v>45</v>
      </c>
      <c r="C22" s="6" t="s">
        <v>53</v>
      </c>
      <c r="D22" s="12" t="s">
        <v>38</v>
      </c>
      <c r="E22" s="13" t="s">
        <v>54</v>
      </c>
      <c r="F22" s="6" t="s">
        <v>34</v>
      </c>
    </row>
    <row r="23" spans="2:6" ht="333.9" x14ac:dyDescent="0.55000000000000004">
      <c r="B23" s="6" t="s">
        <v>45</v>
      </c>
      <c r="C23" s="6" t="s">
        <v>55</v>
      </c>
      <c r="D23" s="12" t="s">
        <v>56</v>
      </c>
      <c r="E23" s="13" t="s">
        <v>57</v>
      </c>
      <c r="F23" s="6" t="s">
        <v>58</v>
      </c>
    </row>
    <row r="24" spans="2:6" ht="52.75" customHeight="1" x14ac:dyDescent="0.55000000000000004">
      <c r="B24" s="6" t="s">
        <v>45</v>
      </c>
      <c r="C24" s="6" t="s">
        <v>59</v>
      </c>
      <c r="D24" s="12" t="s">
        <v>60</v>
      </c>
      <c r="E24" s="13" t="s">
        <v>61</v>
      </c>
      <c r="F24" s="6"/>
    </row>
    <row r="25" spans="2:6" ht="158.15" customHeight="1" x14ac:dyDescent="0.55000000000000004">
      <c r="B25" s="6" t="s">
        <v>45</v>
      </c>
      <c r="C25" s="6" t="s">
        <v>62</v>
      </c>
      <c r="D25" s="12" t="s">
        <v>63</v>
      </c>
      <c r="E25" s="13" t="s">
        <v>6</v>
      </c>
      <c r="F25" s="6"/>
    </row>
    <row r="26" spans="2:6" ht="158.15" customHeight="1" x14ac:dyDescent="0.55000000000000004">
      <c r="B26" s="6" t="s">
        <v>45</v>
      </c>
      <c r="C26" s="6" t="s">
        <v>64</v>
      </c>
      <c r="D26" s="12" t="s">
        <v>65</v>
      </c>
      <c r="E26" s="13" t="s">
        <v>6</v>
      </c>
      <c r="F26" s="6"/>
    </row>
    <row r="27" spans="2:6" ht="52.75" customHeight="1" x14ac:dyDescent="0.55000000000000004">
      <c r="B27" s="6" t="s">
        <v>66</v>
      </c>
      <c r="C27" s="6" t="s">
        <v>67</v>
      </c>
      <c r="D27" s="12" t="s">
        <v>68</v>
      </c>
      <c r="E27" s="13" t="s">
        <v>13</v>
      </c>
      <c r="F27" s="6"/>
    </row>
    <row r="28" spans="2:6" ht="140.69999999999999" customHeight="1" x14ac:dyDescent="0.55000000000000004">
      <c r="B28" s="6" t="s">
        <v>66</v>
      </c>
      <c r="C28" s="6" t="s">
        <v>69</v>
      </c>
      <c r="D28" s="12" t="s">
        <v>41</v>
      </c>
      <c r="E28" s="13" t="s">
        <v>70</v>
      </c>
      <c r="F28" s="6"/>
    </row>
    <row r="29" spans="2:6" ht="35.15" customHeight="1" x14ac:dyDescent="0.55000000000000004">
      <c r="B29" s="6" t="s">
        <v>71</v>
      </c>
      <c r="C29" s="6" t="s">
        <v>72</v>
      </c>
      <c r="D29" s="12" t="s">
        <v>73</v>
      </c>
      <c r="E29" s="13" t="s">
        <v>74</v>
      </c>
      <c r="F29" s="6"/>
    </row>
    <row r="30" spans="2:6" ht="158.15" customHeight="1" x14ac:dyDescent="0.55000000000000004">
      <c r="B30" s="6" t="s">
        <v>71</v>
      </c>
      <c r="C30" s="6" t="s">
        <v>75</v>
      </c>
      <c r="D30" s="12" t="s">
        <v>15</v>
      </c>
      <c r="E30" s="13" t="s">
        <v>6</v>
      </c>
      <c r="F30" s="6"/>
    </row>
    <row r="31" spans="2:6" ht="369" customHeight="1" x14ac:dyDescent="0.55000000000000004">
      <c r="B31" s="6" t="s">
        <v>71</v>
      </c>
      <c r="C31" s="6" t="s">
        <v>76</v>
      </c>
      <c r="D31" s="12" t="s">
        <v>77</v>
      </c>
      <c r="E31" s="13" t="s">
        <v>39</v>
      </c>
      <c r="F31" s="6" t="s">
        <v>34</v>
      </c>
    </row>
    <row r="32" spans="2:6" ht="369" customHeight="1" x14ac:dyDescent="0.55000000000000004">
      <c r="B32" s="6" t="s">
        <v>71</v>
      </c>
      <c r="C32" s="6" t="s">
        <v>1178</v>
      </c>
      <c r="D32" s="12" t="s">
        <v>1179</v>
      </c>
      <c r="E32" s="13" t="s">
        <v>788</v>
      </c>
      <c r="F32" s="6"/>
    </row>
    <row r="33" spans="2:6" ht="140.69999999999999" customHeight="1" x14ac:dyDescent="0.55000000000000004">
      <c r="B33" s="6" t="s">
        <v>71</v>
      </c>
      <c r="C33" s="6" t="s">
        <v>78</v>
      </c>
      <c r="D33" s="12" t="s">
        <v>79</v>
      </c>
      <c r="E33" s="13" t="s">
        <v>80</v>
      </c>
      <c r="F33" s="6"/>
    </row>
    <row r="34" spans="2:6" x14ac:dyDescent="0.55000000000000004">
      <c r="B34" s="6" t="s">
        <v>81</v>
      </c>
      <c r="C34" s="6" t="s">
        <v>82</v>
      </c>
      <c r="D34" s="12" t="s">
        <v>47</v>
      </c>
      <c r="E34" s="13" t="s">
        <v>21</v>
      </c>
      <c r="F34" s="6"/>
    </row>
    <row r="35" spans="2:6" ht="105.45" customHeight="1" x14ac:dyDescent="0.55000000000000004">
      <c r="B35" s="6" t="s">
        <v>81</v>
      </c>
      <c r="C35" s="6" t="s">
        <v>83</v>
      </c>
      <c r="D35" s="12" t="s">
        <v>84</v>
      </c>
      <c r="E35" s="13" t="s">
        <v>8</v>
      </c>
      <c r="F35" s="6"/>
    </row>
    <row r="36" spans="2:6" ht="158.15" customHeight="1" x14ac:dyDescent="0.55000000000000004">
      <c r="B36" s="6" t="s">
        <v>81</v>
      </c>
      <c r="C36" s="6" t="s">
        <v>85</v>
      </c>
      <c r="D36" s="12" t="s">
        <v>86</v>
      </c>
      <c r="E36" s="13" t="s">
        <v>6</v>
      </c>
      <c r="F36" s="6"/>
    </row>
    <row r="37" spans="2:6" x14ac:dyDescent="0.55000000000000004">
      <c r="B37" s="6" t="s">
        <v>81</v>
      </c>
      <c r="C37" s="6" t="s">
        <v>87</v>
      </c>
      <c r="D37" s="12" t="s">
        <v>88</v>
      </c>
      <c r="E37" s="13" t="s">
        <v>89</v>
      </c>
      <c r="F37" s="6" t="s">
        <v>34</v>
      </c>
    </row>
    <row r="38" spans="2:6" ht="158.15" customHeight="1" x14ac:dyDescent="0.55000000000000004">
      <c r="B38" s="6" t="s">
        <v>81</v>
      </c>
      <c r="C38" s="6" t="s">
        <v>90</v>
      </c>
      <c r="D38" s="5" t="s">
        <v>91</v>
      </c>
      <c r="E38" s="13" t="s">
        <v>92</v>
      </c>
      <c r="F38" s="6" t="s">
        <v>34</v>
      </c>
    </row>
    <row r="39" spans="2:6" ht="246" customHeight="1" x14ac:dyDescent="0.55000000000000004">
      <c r="B39" s="6" t="s">
        <v>81</v>
      </c>
      <c r="C39" s="6" t="s">
        <v>93</v>
      </c>
      <c r="D39" s="12" t="s">
        <v>94</v>
      </c>
      <c r="E39" s="13" t="s">
        <v>95</v>
      </c>
      <c r="F39" s="6"/>
    </row>
    <row r="40" spans="2:6" ht="158.15" customHeight="1" x14ac:dyDescent="0.55000000000000004">
      <c r="B40" s="6" t="s">
        <v>81</v>
      </c>
      <c r="C40" s="6" t="s">
        <v>96</v>
      </c>
      <c r="D40" s="5" t="s">
        <v>97</v>
      </c>
      <c r="E40" s="13" t="s">
        <v>98</v>
      </c>
      <c r="F40" s="6"/>
    </row>
    <row r="41" spans="2:6" ht="158.15" customHeight="1" x14ac:dyDescent="0.55000000000000004">
      <c r="B41" s="6" t="s">
        <v>81</v>
      </c>
      <c r="C41" s="6" t="s">
        <v>99</v>
      </c>
      <c r="D41" s="12" t="s">
        <v>100</v>
      </c>
      <c r="E41" s="13" t="s">
        <v>101</v>
      </c>
      <c r="F41" s="6"/>
    </row>
    <row r="42" spans="2:6" x14ac:dyDescent="0.55000000000000004">
      <c r="B42" s="6" t="s">
        <v>102</v>
      </c>
      <c r="C42" s="6" t="s">
        <v>103</v>
      </c>
      <c r="D42" s="12" t="s">
        <v>104</v>
      </c>
      <c r="E42" s="13" t="s">
        <v>89</v>
      </c>
      <c r="F42" s="6"/>
    </row>
    <row r="43" spans="2:6" ht="105.45" customHeight="1" x14ac:dyDescent="0.55000000000000004">
      <c r="B43" s="6" t="s">
        <v>102</v>
      </c>
      <c r="C43" s="6" t="s">
        <v>105</v>
      </c>
      <c r="D43" s="12" t="s">
        <v>84</v>
      </c>
      <c r="E43" s="13" t="s">
        <v>8</v>
      </c>
      <c r="F43" s="6"/>
    </row>
    <row r="44" spans="2:6" ht="158.15" customHeight="1" x14ac:dyDescent="0.55000000000000004">
      <c r="B44" s="6" t="s">
        <v>102</v>
      </c>
      <c r="C44" s="6" t="s">
        <v>106</v>
      </c>
      <c r="D44" s="12" t="s">
        <v>86</v>
      </c>
      <c r="E44" s="13" t="s">
        <v>6</v>
      </c>
      <c r="F44" s="6"/>
    </row>
    <row r="45" spans="2:6" ht="334" customHeight="1" x14ac:dyDescent="0.55000000000000004">
      <c r="B45" s="6" t="s">
        <v>102</v>
      </c>
      <c r="C45" s="6" t="s">
        <v>107</v>
      </c>
      <c r="D45" s="12" t="s">
        <v>108</v>
      </c>
      <c r="E45" s="13" t="s">
        <v>109</v>
      </c>
      <c r="F45" s="6" t="s">
        <v>110</v>
      </c>
    </row>
    <row r="46" spans="2:6" x14ac:dyDescent="0.55000000000000004">
      <c r="B46" s="6" t="s">
        <v>102</v>
      </c>
      <c r="C46" s="6" t="s">
        <v>111</v>
      </c>
      <c r="D46" s="12" t="s">
        <v>112</v>
      </c>
      <c r="E46" s="13" t="s">
        <v>89</v>
      </c>
      <c r="F46" s="6"/>
    </row>
    <row r="47" spans="2:6" ht="35.15" x14ac:dyDescent="0.55000000000000004">
      <c r="B47" s="6" t="s">
        <v>102</v>
      </c>
      <c r="C47" s="6" t="s">
        <v>113</v>
      </c>
      <c r="D47" s="12" t="s">
        <v>114</v>
      </c>
      <c r="E47" s="13" t="s">
        <v>115</v>
      </c>
      <c r="F47" s="6" t="s">
        <v>110</v>
      </c>
    </row>
    <row r="48" spans="2:6" x14ac:dyDescent="0.55000000000000004">
      <c r="B48" s="6" t="s">
        <v>116</v>
      </c>
      <c r="C48" s="6" t="s">
        <v>117</v>
      </c>
      <c r="D48" s="12" t="s">
        <v>118</v>
      </c>
      <c r="E48" s="13" t="s">
        <v>89</v>
      </c>
      <c r="F48" s="6"/>
    </row>
    <row r="49" spans="2:6" x14ac:dyDescent="0.55000000000000004">
      <c r="B49" s="6" t="s">
        <v>119</v>
      </c>
      <c r="C49" s="6" t="s">
        <v>120</v>
      </c>
      <c r="D49" s="12" t="s">
        <v>121</v>
      </c>
      <c r="E49" s="13" t="s">
        <v>89</v>
      </c>
      <c r="F49" s="6"/>
    </row>
    <row r="50" spans="2:6" ht="158.15" x14ac:dyDescent="0.55000000000000004">
      <c r="B50" s="6" t="s">
        <v>119</v>
      </c>
      <c r="C50" s="6" t="s">
        <v>122</v>
      </c>
      <c r="D50" s="12" t="s">
        <v>84</v>
      </c>
      <c r="E50" s="13" t="s">
        <v>123</v>
      </c>
      <c r="F50" s="6" t="s">
        <v>34</v>
      </c>
    </row>
    <row r="51" spans="2:6" ht="158.15" x14ac:dyDescent="0.55000000000000004">
      <c r="B51" s="6" t="s">
        <v>119</v>
      </c>
      <c r="C51" s="6" t="s">
        <v>124</v>
      </c>
      <c r="D51" s="12" t="s">
        <v>125</v>
      </c>
      <c r="E51" s="13" t="s">
        <v>6</v>
      </c>
      <c r="F51" s="6"/>
    </row>
    <row r="52" spans="2:6" ht="105.45" x14ac:dyDescent="0.55000000000000004">
      <c r="B52" s="6" t="s">
        <v>126</v>
      </c>
      <c r="C52" s="6" t="s">
        <v>127</v>
      </c>
      <c r="D52" s="12" t="s">
        <v>128</v>
      </c>
      <c r="E52" s="13" t="s">
        <v>129</v>
      </c>
      <c r="F52" s="6"/>
    </row>
    <row r="53" spans="2:6" x14ac:dyDescent="0.55000000000000004">
      <c r="B53" s="6" t="s">
        <v>126</v>
      </c>
      <c r="C53" s="6" t="s">
        <v>130</v>
      </c>
      <c r="D53" s="12" t="s">
        <v>131</v>
      </c>
      <c r="E53" s="13" t="s">
        <v>29</v>
      </c>
      <c r="F53" s="6"/>
    </row>
    <row r="54" spans="2:6" ht="158.15" x14ac:dyDescent="0.55000000000000004">
      <c r="B54" s="6" t="s">
        <v>132</v>
      </c>
      <c r="C54" s="6" t="s">
        <v>133</v>
      </c>
      <c r="D54" s="12" t="s">
        <v>134</v>
      </c>
      <c r="E54" s="13" t="s">
        <v>6</v>
      </c>
      <c r="F54" s="6"/>
    </row>
    <row r="55" spans="2:6" ht="158.15" x14ac:dyDescent="0.55000000000000004">
      <c r="B55" s="6" t="s">
        <v>132</v>
      </c>
      <c r="C55" s="6" t="s">
        <v>135</v>
      </c>
      <c r="D55" s="12" t="s">
        <v>136</v>
      </c>
      <c r="E55" s="13" t="s">
        <v>6</v>
      </c>
      <c r="F55" s="6"/>
    </row>
    <row r="56" spans="2:6" ht="158.15" x14ac:dyDescent="0.55000000000000004">
      <c r="B56" s="6" t="s">
        <v>132</v>
      </c>
      <c r="C56" s="6" t="s">
        <v>137</v>
      </c>
      <c r="D56" s="12" t="s">
        <v>138</v>
      </c>
      <c r="E56" s="13" t="s">
        <v>6</v>
      </c>
      <c r="F56" s="6"/>
    </row>
    <row r="57" spans="2:6" ht="70.3" x14ac:dyDescent="0.55000000000000004">
      <c r="B57" s="6" t="s">
        <v>132</v>
      </c>
      <c r="C57" s="6" t="s">
        <v>139</v>
      </c>
      <c r="D57" s="12" t="s">
        <v>140</v>
      </c>
      <c r="E57" s="13" t="s">
        <v>141</v>
      </c>
      <c r="F57" s="6"/>
    </row>
    <row r="58" spans="2:6" ht="158.15" x14ac:dyDescent="0.55000000000000004">
      <c r="B58" s="6" t="s">
        <v>132</v>
      </c>
      <c r="C58" s="6" t="s">
        <v>142</v>
      </c>
      <c r="D58" s="12" t="s">
        <v>143</v>
      </c>
      <c r="E58" s="13" t="s">
        <v>6</v>
      </c>
      <c r="F58" s="6"/>
    </row>
    <row r="59" spans="2:6" ht="35.15" x14ac:dyDescent="0.55000000000000004">
      <c r="B59" s="6" t="s">
        <v>132</v>
      </c>
      <c r="C59" s="6" t="s">
        <v>144</v>
      </c>
      <c r="D59" s="12" t="s">
        <v>145</v>
      </c>
      <c r="E59" s="13" t="s">
        <v>89</v>
      </c>
      <c r="F59" s="6"/>
    </row>
    <row r="60" spans="2:6" ht="158.15" x14ac:dyDescent="0.55000000000000004">
      <c r="B60" s="6" t="s">
        <v>132</v>
      </c>
      <c r="C60" s="6" t="s">
        <v>146</v>
      </c>
      <c r="D60" s="12" t="s">
        <v>147</v>
      </c>
      <c r="E60" s="13" t="s">
        <v>6</v>
      </c>
      <c r="F60" s="6"/>
    </row>
    <row r="61" spans="2:6" ht="35.15" x14ac:dyDescent="0.55000000000000004">
      <c r="B61" s="6" t="s">
        <v>132</v>
      </c>
      <c r="C61" s="6" t="s">
        <v>148</v>
      </c>
      <c r="D61" s="12" t="s">
        <v>140</v>
      </c>
      <c r="E61" s="13" t="s">
        <v>149</v>
      </c>
      <c r="F61" s="6"/>
    </row>
    <row r="62" spans="2:6" ht="158.15" x14ac:dyDescent="0.55000000000000004">
      <c r="B62" s="6" t="s">
        <v>132</v>
      </c>
      <c r="C62" s="6" t="s">
        <v>150</v>
      </c>
      <c r="D62" s="12" t="s">
        <v>143</v>
      </c>
      <c r="E62" s="13" t="s">
        <v>6</v>
      </c>
      <c r="F62" s="6"/>
    </row>
    <row r="63" spans="2:6" ht="35.15" x14ac:dyDescent="0.55000000000000004">
      <c r="B63" s="6" t="s">
        <v>132</v>
      </c>
      <c r="C63" s="6" t="s">
        <v>151</v>
      </c>
      <c r="D63" s="12" t="s">
        <v>145</v>
      </c>
      <c r="E63" s="13" t="s">
        <v>89</v>
      </c>
      <c r="F63" s="6"/>
    </row>
    <row r="64" spans="2:6" ht="158.15" x14ac:dyDescent="0.55000000000000004">
      <c r="B64" s="6" t="s">
        <v>132</v>
      </c>
      <c r="C64" s="6" t="s">
        <v>152</v>
      </c>
      <c r="D64" s="12" t="s">
        <v>147</v>
      </c>
      <c r="E64" s="13" t="s">
        <v>6</v>
      </c>
      <c r="F64" s="6"/>
    </row>
    <row r="65" spans="2:6" ht="193.3" x14ac:dyDescent="0.55000000000000004">
      <c r="B65" s="6" t="s">
        <v>132</v>
      </c>
      <c r="C65" s="6" t="s">
        <v>153</v>
      </c>
      <c r="D65" s="12" t="s">
        <v>154</v>
      </c>
      <c r="E65" s="13" t="s">
        <v>155</v>
      </c>
      <c r="F65" s="6"/>
    </row>
    <row r="66" spans="2:6" ht="246" x14ac:dyDescent="0.55000000000000004">
      <c r="B66" s="6" t="s">
        <v>132</v>
      </c>
      <c r="C66" s="6" t="s">
        <v>156</v>
      </c>
      <c r="D66" s="12" t="s">
        <v>157</v>
      </c>
      <c r="E66" s="13" t="s">
        <v>158</v>
      </c>
      <c r="F66" s="6"/>
    </row>
    <row r="67" spans="2:6" ht="158.15" x14ac:dyDescent="0.55000000000000004">
      <c r="B67" s="6" t="s">
        <v>132</v>
      </c>
      <c r="C67" s="6" t="s">
        <v>159</v>
      </c>
      <c r="D67" s="12" t="s">
        <v>160</v>
      </c>
      <c r="E67" s="13" t="s">
        <v>6</v>
      </c>
      <c r="F67" s="6"/>
    </row>
    <row r="68" spans="2:6" ht="158.15" x14ac:dyDescent="0.55000000000000004">
      <c r="B68" s="6" t="s">
        <v>132</v>
      </c>
      <c r="C68" s="6" t="s">
        <v>161</v>
      </c>
      <c r="D68" s="12" t="s">
        <v>140</v>
      </c>
      <c r="E68" s="13" t="s">
        <v>162</v>
      </c>
      <c r="F68" s="6"/>
    </row>
    <row r="69" spans="2:6" ht="158.15" x14ac:dyDescent="0.55000000000000004">
      <c r="B69" s="6" t="s">
        <v>132</v>
      </c>
      <c r="C69" s="6" t="s">
        <v>163</v>
      </c>
      <c r="D69" s="12" t="s">
        <v>164</v>
      </c>
      <c r="E69" s="13" t="s">
        <v>6</v>
      </c>
      <c r="F69" s="6"/>
    </row>
    <row r="70" spans="2:6" ht="35.15" x14ac:dyDescent="0.55000000000000004">
      <c r="B70" s="6" t="s">
        <v>132</v>
      </c>
      <c r="C70" s="6" t="s">
        <v>165</v>
      </c>
      <c r="D70" s="12" t="s">
        <v>166</v>
      </c>
      <c r="E70" s="13" t="s">
        <v>89</v>
      </c>
      <c r="F70" s="6"/>
    </row>
    <row r="71" spans="2:6" ht="158.15" x14ac:dyDescent="0.55000000000000004">
      <c r="B71" s="6" t="s">
        <v>132</v>
      </c>
      <c r="C71" s="6" t="s">
        <v>167</v>
      </c>
      <c r="D71" s="12" t="s">
        <v>168</v>
      </c>
      <c r="E71" s="13" t="s">
        <v>6</v>
      </c>
      <c r="F71" s="6"/>
    </row>
    <row r="72" spans="2:6" ht="158.15" x14ac:dyDescent="0.55000000000000004">
      <c r="B72" s="6" t="s">
        <v>132</v>
      </c>
      <c r="C72" s="6" t="s">
        <v>169</v>
      </c>
      <c r="D72" s="12" t="s">
        <v>168</v>
      </c>
      <c r="E72" s="13" t="s">
        <v>6</v>
      </c>
      <c r="F72" s="6"/>
    </row>
    <row r="73" spans="2:6" ht="158.15" x14ac:dyDescent="0.55000000000000004">
      <c r="B73" s="6" t="s">
        <v>132</v>
      </c>
      <c r="C73" s="6" t="s">
        <v>170</v>
      </c>
      <c r="D73" s="12" t="s">
        <v>171</v>
      </c>
      <c r="E73" s="13" t="s">
        <v>6</v>
      </c>
      <c r="F73" s="6"/>
    </row>
    <row r="74" spans="2:6" ht="105.45" x14ac:dyDescent="0.55000000000000004">
      <c r="B74" s="6" t="s">
        <v>132</v>
      </c>
      <c r="C74" s="6" t="s">
        <v>172</v>
      </c>
      <c r="D74" s="12" t="s">
        <v>173</v>
      </c>
      <c r="E74" s="13" t="s">
        <v>174</v>
      </c>
      <c r="F74" s="6" t="s">
        <v>175</v>
      </c>
    </row>
    <row r="75" spans="2:6" ht="87.9" x14ac:dyDescent="0.55000000000000004">
      <c r="B75" s="6" t="s">
        <v>132</v>
      </c>
      <c r="C75" s="6" t="s">
        <v>176</v>
      </c>
      <c r="D75" s="12" t="s">
        <v>173</v>
      </c>
      <c r="E75" s="13" t="s">
        <v>177</v>
      </c>
      <c r="F75" s="6"/>
    </row>
    <row r="76" spans="2:6" ht="158.15" x14ac:dyDescent="0.55000000000000004">
      <c r="B76" s="6" t="s">
        <v>132</v>
      </c>
      <c r="C76" s="6" t="s">
        <v>178</v>
      </c>
      <c r="D76" s="12" t="s">
        <v>179</v>
      </c>
      <c r="E76" s="13" t="s">
        <v>6</v>
      </c>
      <c r="F76" s="6"/>
    </row>
    <row r="77" spans="2:6" ht="158.15" x14ac:dyDescent="0.55000000000000004">
      <c r="B77" s="6" t="s">
        <v>132</v>
      </c>
      <c r="C77" s="6" t="s">
        <v>180</v>
      </c>
      <c r="D77" s="12" t="s">
        <v>181</v>
      </c>
      <c r="E77" s="13" t="s">
        <v>6</v>
      </c>
      <c r="F77" s="6"/>
    </row>
    <row r="78" spans="2:6" ht="158.15" x14ac:dyDescent="0.55000000000000004">
      <c r="B78" s="6" t="s">
        <v>132</v>
      </c>
      <c r="C78" s="6" t="s">
        <v>182</v>
      </c>
      <c r="D78" s="12" t="s">
        <v>183</v>
      </c>
      <c r="E78" s="13" t="s">
        <v>6</v>
      </c>
      <c r="F78" s="6"/>
    </row>
    <row r="79" spans="2:6" ht="158.15" x14ac:dyDescent="0.55000000000000004">
      <c r="B79" s="6" t="s">
        <v>184</v>
      </c>
      <c r="C79" s="6" t="s">
        <v>185</v>
      </c>
      <c r="D79" s="12" t="s">
        <v>186</v>
      </c>
      <c r="E79" s="13" t="s">
        <v>6</v>
      </c>
      <c r="F79" s="6"/>
    </row>
    <row r="80" spans="2:6" ht="70.3" x14ac:dyDescent="0.55000000000000004">
      <c r="B80" s="6" t="s">
        <v>184</v>
      </c>
      <c r="C80" s="6" t="s">
        <v>187</v>
      </c>
      <c r="D80" s="12" t="s">
        <v>188</v>
      </c>
      <c r="E80" s="15" t="s">
        <v>189</v>
      </c>
      <c r="F80" s="6" t="s">
        <v>190</v>
      </c>
    </row>
    <row r="81" spans="2:6" ht="158.15" x14ac:dyDescent="0.55000000000000004">
      <c r="B81" s="6" t="s">
        <v>184</v>
      </c>
      <c r="C81" s="6" t="s">
        <v>191</v>
      </c>
      <c r="D81" s="12" t="s">
        <v>192</v>
      </c>
      <c r="E81" s="15" t="s">
        <v>6</v>
      </c>
      <c r="F81" s="6"/>
    </row>
    <row r="82" spans="2:6" x14ac:dyDescent="0.55000000000000004">
      <c r="B82" s="6" t="s">
        <v>184</v>
      </c>
      <c r="C82" s="6" t="s">
        <v>193</v>
      </c>
      <c r="D82" s="12" t="s">
        <v>194</v>
      </c>
      <c r="E82" s="13" t="s">
        <v>89</v>
      </c>
      <c r="F82" s="6"/>
    </row>
    <row r="83" spans="2:6" ht="158.15" x14ac:dyDescent="0.55000000000000004">
      <c r="B83" s="6" t="s">
        <v>184</v>
      </c>
      <c r="C83" s="6" t="s">
        <v>195</v>
      </c>
      <c r="D83" s="12" t="s">
        <v>196</v>
      </c>
      <c r="E83" s="15" t="s">
        <v>6</v>
      </c>
      <c r="F83" s="6"/>
    </row>
  </sheetData>
  <phoneticPr fontId="0" type="noConversion"/>
  <pageMargins left="0.70866141732283472" right="0.70866141732283472" top="0.74803149606299213" bottom="0.74803149606299213" header="0.31496062992125984" footer="0.31496062992125984"/>
  <pageSetup paperSize="9" scale="79" fitToHeight="0" orientation="landscape" verticalDpi="0" r:id="rId1"/>
  <colBreaks count="1" manualBreakCount="1">
    <brk id="4" max="81"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BBCB1-3573-47D7-9066-D154EDDFABE6}">
  <sheetPr codeName="Sheet2">
    <tabColor theme="9" tint="0.79998168889431442"/>
    <pageSetUpPr fitToPage="1"/>
  </sheetPr>
  <dimension ref="A2:H33"/>
  <sheetViews>
    <sheetView showGridLines="0" view="pageBreakPreview" zoomScale="60" zoomScaleNormal="100" workbookViewId="0">
      <selection activeCell="F18" sqref="F18"/>
    </sheetView>
  </sheetViews>
  <sheetFormatPr defaultRowHeight="17.600000000000001" x14ac:dyDescent="0.55000000000000004"/>
  <cols>
    <col min="1" max="1" width="1.7109375" style="19" customWidth="1"/>
    <col min="2" max="3" width="32.5703125" customWidth="1"/>
    <col min="4" max="6" width="22.140625" style="8" customWidth="1"/>
    <col min="7" max="7" width="26.7109375" style="8" customWidth="1"/>
    <col min="8" max="8" width="22.140625" style="8" customWidth="1"/>
    <col min="9" max="10" width="23.140625" customWidth="1"/>
  </cols>
  <sheetData>
    <row r="2" spans="1:8" ht="18" x14ac:dyDescent="0.55000000000000004">
      <c r="B2" s="20" t="s">
        <v>785</v>
      </c>
      <c r="C2" s="8"/>
      <c r="D2" s="50" t="s">
        <v>803</v>
      </c>
    </row>
    <row r="3" spans="1:8" ht="35.6" thickBot="1" x14ac:dyDescent="0.6">
      <c r="A3" s="51" t="s">
        <v>813</v>
      </c>
      <c r="B3" s="46" t="s">
        <v>800</v>
      </c>
      <c r="C3" s="48" t="s">
        <v>801</v>
      </c>
      <c r="D3" s="47" t="s">
        <v>804</v>
      </c>
      <c r="E3" s="49" t="s">
        <v>308</v>
      </c>
      <c r="F3" s="46" t="s">
        <v>309</v>
      </c>
      <c r="G3" s="46" t="s">
        <v>802</v>
      </c>
      <c r="H3" s="46" t="s">
        <v>310</v>
      </c>
    </row>
    <row r="4" spans="1:8" x14ac:dyDescent="0.55000000000000004">
      <c r="B4" s="23"/>
      <c r="C4" s="23"/>
      <c r="D4" s="24"/>
      <c r="E4" s="24"/>
      <c r="F4" s="54"/>
      <c r="G4" s="24"/>
      <c r="H4" s="44"/>
    </row>
    <row r="5" spans="1:8" x14ac:dyDescent="0.55000000000000004">
      <c r="B5" s="21"/>
      <c r="C5" s="21"/>
      <c r="D5" s="22"/>
      <c r="E5" s="22"/>
      <c r="F5" s="55"/>
      <c r="G5" s="22"/>
      <c r="H5" s="45"/>
    </row>
    <row r="6" spans="1:8" x14ac:dyDescent="0.55000000000000004">
      <c r="B6" s="21"/>
      <c r="C6" s="21"/>
      <c r="D6" s="22"/>
      <c r="E6" s="22"/>
      <c r="F6" s="55"/>
      <c r="G6" s="22"/>
      <c r="H6" s="45"/>
    </row>
    <row r="7" spans="1:8" x14ac:dyDescent="0.55000000000000004">
      <c r="B7" s="21"/>
      <c r="C7" s="21"/>
      <c r="D7" s="22"/>
      <c r="E7" s="22"/>
      <c r="F7" s="55"/>
      <c r="G7" s="22"/>
      <c r="H7" s="45"/>
    </row>
    <row r="8" spans="1:8" x14ac:dyDescent="0.55000000000000004">
      <c r="B8" s="21"/>
      <c r="C8" s="21"/>
      <c r="D8" s="22"/>
      <c r="E8" s="22"/>
      <c r="F8" s="55"/>
      <c r="G8" s="22"/>
      <c r="H8" s="45"/>
    </row>
    <row r="9" spans="1:8" x14ac:dyDescent="0.55000000000000004">
      <c r="B9" s="21"/>
      <c r="C9" s="21"/>
      <c r="D9" s="22"/>
      <c r="E9" s="22"/>
      <c r="F9" s="55"/>
      <c r="G9" s="22"/>
      <c r="H9" s="45"/>
    </row>
    <row r="10" spans="1:8" x14ac:dyDescent="0.55000000000000004">
      <c r="B10" s="21"/>
      <c r="C10" s="21"/>
      <c r="D10" s="22"/>
      <c r="E10" s="22"/>
      <c r="F10" s="55"/>
      <c r="G10" s="22"/>
      <c r="H10" s="45"/>
    </row>
    <row r="11" spans="1:8" x14ac:dyDescent="0.55000000000000004">
      <c r="B11" s="21"/>
      <c r="C11" s="21"/>
      <c r="D11" s="22"/>
      <c r="E11" s="22"/>
      <c r="F11" s="55"/>
      <c r="G11" s="22"/>
      <c r="H11" s="45"/>
    </row>
    <row r="12" spans="1:8" x14ac:dyDescent="0.55000000000000004">
      <c r="B12" s="21"/>
      <c r="C12" s="21"/>
      <c r="D12" s="22"/>
      <c r="E12" s="22"/>
      <c r="F12" s="55"/>
      <c r="G12" s="22"/>
      <c r="H12" s="45"/>
    </row>
    <row r="13" spans="1:8" x14ac:dyDescent="0.55000000000000004">
      <c r="B13" s="21"/>
      <c r="C13" s="21"/>
      <c r="D13" s="22"/>
      <c r="E13" s="22"/>
      <c r="F13" s="55"/>
      <c r="G13" s="22"/>
      <c r="H13" s="45"/>
    </row>
    <row r="14" spans="1:8" x14ac:dyDescent="0.55000000000000004">
      <c r="B14" s="21"/>
      <c r="C14" s="21"/>
      <c r="D14" s="22"/>
      <c r="E14" s="22"/>
      <c r="F14" s="55"/>
      <c r="G14" s="22"/>
      <c r="H14" s="45"/>
    </row>
    <row r="15" spans="1:8" x14ac:dyDescent="0.55000000000000004">
      <c r="B15" s="21"/>
      <c r="C15" s="21"/>
      <c r="D15" s="22"/>
      <c r="E15" s="22"/>
      <c r="F15" s="55"/>
      <c r="G15" s="22"/>
      <c r="H15" s="45"/>
    </row>
    <row r="16" spans="1:8" x14ac:dyDescent="0.55000000000000004">
      <c r="B16" s="21"/>
      <c r="C16" s="21"/>
      <c r="D16" s="22"/>
      <c r="E16" s="22"/>
      <c r="F16" s="55"/>
      <c r="G16" s="22"/>
      <c r="H16" s="45"/>
    </row>
    <row r="17" spans="2:8" x14ac:dyDescent="0.55000000000000004">
      <c r="B17" s="21"/>
      <c r="C17" s="21"/>
      <c r="D17" s="22"/>
      <c r="E17" s="22"/>
      <c r="F17" s="55"/>
      <c r="G17" s="22"/>
      <c r="H17" s="45"/>
    </row>
    <row r="18" spans="2:8" x14ac:dyDescent="0.55000000000000004">
      <c r="B18" s="21"/>
      <c r="C18" s="21"/>
      <c r="D18" s="22"/>
      <c r="E18" s="22"/>
      <c r="F18" s="55"/>
      <c r="G18" s="22"/>
      <c r="H18" s="45"/>
    </row>
    <row r="19" spans="2:8" x14ac:dyDescent="0.55000000000000004">
      <c r="B19" s="21"/>
      <c r="C19" s="21"/>
      <c r="D19" s="22"/>
      <c r="E19" s="22"/>
      <c r="F19" s="55"/>
      <c r="G19" s="22"/>
      <c r="H19" s="45"/>
    </row>
    <row r="20" spans="2:8" x14ac:dyDescent="0.55000000000000004">
      <c r="B20" s="21"/>
      <c r="C20" s="21"/>
      <c r="D20" s="22"/>
      <c r="E20" s="22"/>
      <c r="F20" s="55"/>
      <c r="G20" s="22"/>
      <c r="H20" s="45"/>
    </row>
    <row r="21" spans="2:8" x14ac:dyDescent="0.55000000000000004">
      <c r="B21" s="21"/>
      <c r="C21" s="21"/>
      <c r="D21" s="22"/>
      <c r="E21" s="22"/>
      <c r="F21" s="55"/>
      <c r="G21" s="22"/>
      <c r="H21" s="45"/>
    </row>
    <row r="22" spans="2:8" x14ac:dyDescent="0.55000000000000004">
      <c r="B22" s="21"/>
      <c r="C22" s="21"/>
      <c r="D22" s="22"/>
      <c r="E22" s="22"/>
      <c r="F22" s="55"/>
      <c r="G22" s="22"/>
      <c r="H22" s="45"/>
    </row>
    <row r="23" spans="2:8" x14ac:dyDescent="0.55000000000000004">
      <c r="B23" s="21"/>
      <c r="C23" s="21"/>
      <c r="D23" s="22"/>
      <c r="E23" s="22"/>
      <c r="F23" s="55"/>
      <c r="G23" s="22"/>
      <c r="H23" s="45"/>
    </row>
    <row r="24" spans="2:8" x14ac:dyDescent="0.55000000000000004">
      <c r="B24" s="21"/>
      <c r="C24" s="21"/>
      <c r="D24" s="22"/>
      <c r="E24" s="22"/>
      <c r="F24" s="55"/>
      <c r="G24" s="22"/>
      <c r="H24" s="45"/>
    </row>
    <row r="25" spans="2:8" x14ac:dyDescent="0.55000000000000004">
      <c r="B25" s="21"/>
      <c r="C25" s="21"/>
      <c r="D25" s="22"/>
      <c r="E25" s="22"/>
      <c r="F25" s="55"/>
      <c r="G25" s="22"/>
      <c r="H25" s="45"/>
    </row>
    <row r="26" spans="2:8" x14ac:dyDescent="0.55000000000000004">
      <c r="B26" s="21"/>
      <c r="C26" s="21"/>
      <c r="D26" s="22"/>
      <c r="E26" s="22"/>
      <c r="F26" s="55"/>
      <c r="G26" s="22"/>
      <c r="H26" s="45"/>
    </row>
    <row r="27" spans="2:8" x14ac:dyDescent="0.55000000000000004">
      <c r="B27" s="21"/>
      <c r="C27" s="21"/>
      <c r="D27" s="22"/>
      <c r="E27" s="22"/>
      <c r="F27" s="55"/>
      <c r="G27" s="22"/>
      <c r="H27" s="45"/>
    </row>
    <row r="28" spans="2:8" x14ac:dyDescent="0.55000000000000004">
      <c r="B28" s="21"/>
      <c r="C28" s="21"/>
      <c r="D28" s="22"/>
      <c r="E28" s="22"/>
      <c r="F28" s="55"/>
      <c r="G28" s="22"/>
      <c r="H28" s="45"/>
    </row>
    <row r="29" spans="2:8" x14ac:dyDescent="0.55000000000000004">
      <c r="B29" s="21"/>
      <c r="C29" s="21"/>
      <c r="D29" s="22"/>
      <c r="E29" s="22"/>
      <c r="F29" s="55"/>
      <c r="G29" s="22"/>
      <c r="H29" s="45"/>
    </row>
    <row r="30" spans="2:8" x14ac:dyDescent="0.55000000000000004">
      <c r="B30" s="21"/>
      <c r="C30" s="21"/>
      <c r="D30" s="22"/>
      <c r="E30" s="22"/>
      <c r="F30" s="55"/>
      <c r="G30" s="22"/>
      <c r="H30" s="45"/>
    </row>
    <row r="31" spans="2:8" x14ac:dyDescent="0.55000000000000004">
      <c r="B31" s="21"/>
      <c r="C31" s="21"/>
      <c r="D31" s="22"/>
      <c r="E31" s="22"/>
      <c r="F31" s="55"/>
      <c r="G31" s="22"/>
      <c r="H31" s="45"/>
    </row>
    <row r="32" spans="2:8" x14ac:dyDescent="0.55000000000000004">
      <c r="B32" s="21"/>
      <c r="C32" s="21"/>
      <c r="D32" s="22"/>
      <c r="E32" s="22"/>
      <c r="F32" s="55"/>
      <c r="G32" s="22"/>
      <c r="H32" s="45"/>
    </row>
    <row r="33" spans="1:1" x14ac:dyDescent="0.55000000000000004">
      <c r="A33" s="51" t="s">
        <v>814</v>
      </c>
    </row>
  </sheetData>
  <phoneticPr fontId="2" type="noConversion"/>
  <dataValidations count="1">
    <dataValidation type="list" allowBlank="1" showInputMessage="1" showErrorMessage="1" sqref="F4:F32" xr:uid="{BAD59D2F-27DF-48B9-A6A5-054B059ACAF9}">
      <formula1>"GIR1101,GIR1102,GIR1103,GIR1104,GIR1105,GIR1106"</formula1>
    </dataValidation>
  </dataValidations>
  <pageMargins left="0.70866141732283472" right="0.70866141732283472" top="0.74803149606299213" bottom="0.74803149606299213" header="0.31496062992125984" footer="0.31496062992125984"/>
  <pageSetup paperSize="9" scale="66"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69955-2E40-4D2C-8173-E424EA068BC3}">
  <sheetPr codeName="Sheet16">
    <tabColor rgb="FFFFC000"/>
  </sheetPr>
  <dimension ref="B1:G209"/>
  <sheetViews>
    <sheetView showGridLines="0" zoomScaleNormal="100" workbookViewId="0">
      <selection activeCell="C3" sqref="C3:C7"/>
    </sheetView>
  </sheetViews>
  <sheetFormatPr defaultRowHeight="17.600000000000001" x14ac:dyDescent="0.55000000000000004"/>
  <cols>
    <col min="1" max="1" width="1.5" customWidth="1"/>
    <col min="2" max="2" width="16.85546875" style="82" customWidth="1"/>
    <col min="3" max="3" width="16.0703125" style="82" customWidth="1"/>
    <col min="4" max="4" width="56.35546875" style="83" customWidth="1"/>
    <col min="5" max="5" width="52.7109375" style="84" customWidth="1"/>
    <col min="6" max="6" width="7.640625" style="94" bestFit="1" customWidth="1"/>
    <col min="7" max="7" width="75.85546875" style="84" customWidth="1"/>
  </cols>
  <sheetData>
    <row r="1" spans="2:7" ht="18" thickBot="1" x14ac:dyDescent="0.6"/>
    <row r="2" spans="2:7" ht="18" thickBot="1" x14ac:dyDescent="0.6">
      <c r="B2" s="88"/>
      <c r="C2" s="89"/>
      <c r="D2" s="90" t="s">
        <v>1140</v>
      </c>
      <c r="E2" s="91" t="s">
        <v>815</v>
      </c>
      <c r="F2" s="92" t="s">
        <v>816</v>
      </c>
      <c r="G2" s="93" t="s">
        <v>817</v>
      </c>
    </row>
    <row r="3" spans="2:7" x14ac:dyDescent="0.55000000000000004">
      <c r="B3" s="111" t="s">
        <v>1146</v>
      </c>
      <c r="C3" s="112" t="s">
        <v>1147</v>
      </c>
      <c r="D3" s="113" t="s">
        <v>818</v>
      </c>
      <c r="E3" s="71" t="str">
        <f>_xlfn.CONCAT(F3," - ",G3)</f>
        <v>GIR401 - 최종모기업</v>
      </c>
      <c r="F3" s="95" t="s">
        <v>819</v>
      </c>
      <c r="G3" s="72" t="s">
        <v>208</v>
      </c>
    </row>
    <row r="4" spans="2:7" x14ac:dyDescent="0.55000000000000004">
      <c r="B4" s="100"/>
      <c r="C4" s="103"/>
      <c r="D4" s="107"/>
      <c r="E4" s="73" t="str">
        <f t="shared" ref="E4:E67" si="0">_xlfn.CONCAT(F4," - ",G4)</f>
        <v>GIR402 - 지정구성기업</v>
      </c>
      <c r="F4" s="96" t="s">
        <v>820</v>
      </c>
      <c r="G4" s="74" t="s">
        <v>821</v>
      </c>
    </row>
    <row r="5" spans="2:7" x14ac:dyDescent="0.55000000000000004">
      <c r="B5" s="100"/>
      <c r="C5" s="103"/>
      <c r="D5" s="107"/>
      <c r="E5" s="73" t="str">
        <f t="shared" si="0"/>
        <v>GIR403 - 지정국내기업</v>
      </c>
      <c r="F5" s="96" t="s">
        <v>822</v>
      </c>
      <c r="G5" s="74" t="s">
        <v>823</v>
      </c>
    </row>
    <row r="6" spans="2:7" x14ac:dyDescent="0.55000000000000004">
      <c r="B6" s="100"/>
      <c r="C6" s="103"/>
      <c r="D6" s="107"/>
      <c r="E6" s="73" t="str">
        <f t="shared" si="0"/>
        <v>GIR404 - 구성기업</v>
      </c>
      <c r="F6" s="96" t="s">
        <v>824</v>
      </c>
      <c r="G6" s="74" t="s">
        <v>825</v>
      </c>
    </row>
    <row r="7" spans="2:7" x14ac:dyDescent="0.55000000000000004">
      <c r="B7" s="101"/>
      <c r="C7" s="104"/>
      <c r="D7" s="107"/>
      <c r="E7" s="75" t="str">
        <f t="shared" si="0"/>
        <v>GIR405 - 기타</v>
      </c>
      <c r="F7" s="97" t="s">
        <v>826</v>
      </c>
      <c r="G7" s="76" t="s">
        <v>827</v>
      </c>
    </row>
    <row r="8" spans="2:7" x14ac:dyDescent="0.55000000000000004">
      <c r="B8" s="111" t="s">
        <v>1148</v>
      </c>
      <c r="C8" s="112" t="s">
        <v>1149</v>
      </c>
      <c r="D8" s="107" t="s">
        <v>828</v>
      </c>
      <c r="E8" s="71" t="str">
        <f t="shared" si="0"/>
        <v>GIR501 - 모기업이 인정회계기준에 따라 작성한 연결재무제표</v>
      </c>
      <c r="F8" s="95" t="s">
        <v>829</v>
      </c>
      <c r="G8" s="72" t="s">
        <v>830</v>
      </c>
    </row>
    <row r="9" spans="2:7" x14ac:dyDescent="0.55000000000000004">
      <c r="B9" s="100"/>
      <c r="C9" s="103"/>
      <c r="D9" s="107"/>
      <c r="E9" s="73" t="str">
        <f t="shared" si="0"/>
        <v>GIR502 - 최종모기업의 인정회계기준 재무제표</v>
      </c>
      <c r="F9" s="96" t="s">
        <v>831</v>
      </c>
      <c r="G9" s="74" t="s">
        <v>832</v>
      </c>
    </row>
    <row r="10" spans="2:7" ht="30" x14ac:dyDescent="0.55000000000000004">
      <c r="B10" s="100"/>
      <c r="C10" s="103"/>
      <c r="D10" s="107"/>
      <c r="E10" s="73" t="str">
        <f t="shared" si="0"/>
        <v>GIR503 - 최종모기업이 인정회계기준이 아닌 경우, 중대왜곡방지조정을 반영한 재무제표</v>
      </c>
      <c r="F10" s="96" t="s">
        <v>833</v>
      </c>
      <c r="G10" s="74" t="s">
        <v>834</v>
      </c>
    </row>
    <row r="11" spans="2:7" ht="30" x14ac:dyDescent="0.55000000000000004">
      <c r="B11" s="101"/>
      <c r="C11" s="104"/>
      <c r="D11" s="107"/>
      <c r="E11" s="75" t="str">
        <f t="shared" si="0"/>
        <v>GIR504 - 그 외의 경우(재무제표 작성 의무 없는 경우, 인정회계기준 작성 또는 공인회계기준 작성 및 중대왜곡방지조정된 재무제</v>
      </c>
      <c r="F11" s="97" t="s">
        <v>835</v>
      </c>
      <c r="G11" s="76" t="s">
        <v>836</v>
      </c>
    </row>
    <row r="12" spans="2:7" ht="30" x14ac:dyDescent="0.55000000000000004">
      <c r="B12" s="111" t="s">
        <v>1150</v>
      </c>
      <c r="C12" s="112" t="s">
        <v>1151</v>
      </c>
      <c r="D12" s="107" t="s">
        <v>837</v>
      </c>
      <c r="E12" s="71" t="str">
        <f t="shared" si="0"/>
        <v>GIR201 - 다른 국가에 소재하는 저율과세구성기업에만 적용되는 적격소득산입규칙</v>
      </c>
      <c r="F12" s="95" t="s">
        <v>838</v>
      </c>
      <c r="G12" s="72" t="s">
        <v>839</v>
      </c>
    </row>
    <row r="13" spans="2:7" ht="30" x14ac:dyDescent="0.55000000000000004">
      <c r="B13" s="100"/>
      <c r="C13" s="103"/>
      <c r="D13" s="107"/>
      <c r="E13" s="73" t="str">
        <f t="shared" si="0"/>
        <v>GIR202 - 다른 국가와 모기업 소재지국에 소재하는 저율과세구성기업 모두에 적용되는 적격소득산입규칙</v>
      </c>
      <c r="F13" s="96" t="s">
        <v>840</v>
      </c>
      <c r="G13" s="74" t="s">
        <v>841</v>
      </c>
    </row>
    <row r="14" spans="2:7" x14ac:dyDescent="0.55000000000000004">
      <c r="B14" s="100"/>
      <c r="C14" s="103"/>
      <c r="D14" s="107"/>
      <c r="E14" s="73" t="str">
        <f t="shared" si="0"/>
        <v>GIR203 - 적격소득산입보완규칙</v>
      </c>
      <c r="F14" s="96" t="s">
        <v>842</v>
      </c>
      <c r="G14" s="74" t="s">
        <v>843</v>
      </c>
    </row>
    <row r="15" spans="2:7" x14ac:dyDescent="0.55000000000000004">
      <c r="B15" s="100"/>
      <c r="C15" s="103"/>
      <c r="D15" s="107"/>
      <c r="E15" s="73" t="str">
        <f t="shared" si="0"/>
        <v>GIR204 - 적격소재국추가세제도</v>
      </c>
      <c r="F15" s="96" t="s">
        <v>844</v>
      </c>
      <c r="G15" s="74" t="s">
        <v>845</v>
      </c>
    </row>
    <row r="16" spans="2:7" x14ac:dyDescent="0.55000000000000004">
      <c r="B16" s="101"/>
      <c r="C16" s="104"/>
      <c r="D16" s="107"/>
      <c r="E16" s="75" t="str">
        <f t="shared" si="0"/>
        <v>GIR205 - 해당사항 없음</v>
      </c>
      <c r="F16" s="97" t="s">
        <v>846</v>
      </c>
      <c r="G16" s="76" t="s">
        <v>847</v>
      </c>
    </row>
    <row r="17" spans="2:7" x14ac:dyDescent="0.55000000000000004">
      <c r="B17" s="111" t="s">
        <v>1152</v>
      </c>
      <c r="C17" s="112" t="s">
        <v>1153</v>
      </c>
      <c r="D17" s="107" t="s">
        <v>1174</v>
      </c>
      <c r="E17" s="71" t="str">
        <f t="shared" si="0"/>
        <v>GIR301 - 구성기업</v>
      </c>
      <c r="F17" s="95" t="s">
        <v>848</v>
      </c>
      <c r="G17" s="72" t="s">
        <v>825</v>
      </c>
    </row>
    <row r="18" spans="2:7" x14ac:dyDescent="0.55000000000000004">
      <c r="B18" s="100"/>
      <c r="C18" s="103"/>
      <c r="D18" s="107"/>
      <c r="E18" s="73" t="str">
        <f t="shared" si="0"/>
        <v>GIR302 - 투과기업-투자과세기업</v>
      </c>
      <c r="F18" s="96" t="s">
        <v>849</v>
      </c>
      <c r="G18" s="74" t="s">
        <v>850</v>
      </c>
    </row>
    <row r="19" spans="2:7" x14ac:dyDescent="0.55000000000000004">
      <c r="B19" s="100"/>
      <c r="C19" s="103"/>
      <c r="D19" s="107"/>
      <c r="E19" s="73" t="str">
        <f t="shared" si="0"/>
        <v>GIR303 - 투과기업-역혼성기업</v>
      </c>
      <c r="F19" s="96" t="s">
        <v>851</v>
      </c>
      <c r="G19" s="74" t="s">
        <v>852</v>
      </c>
    </row>
    <row r="20" spans="2:7" x14ac:dyDescent="0.55000000000000004">
      <c r="B20" s="100"/>
      <c r="C20" s="103"/>
      <c r="D20" s="107"/>
      <c r="E20" s="73" t="str">
        <f t="shared" si="0"/>
        <v>GIR304 - 혼성기업</v>
      </c>
      <c r="F20" s="96" t="s">
        <v>853</v>
      </c>
      <c r="G20" s="74" t="s">
        <v>854</v>
      </c>
    </row>
    <row r="21" spans="2:7" x14ac:dyDescent="0.55000000000000004">
      <c r="B21" s="100"/>
      <c r="C21" s="103"/>
      <c r="D21" s="107"/>
      <c r="E21" s="73" t="str">
        <f t="shared" si="0"/>
        <v>GIR305 - 고정사업장</v>
      </c>
      <c r="F21" s="96" t="s">
        <v>855</v>
      </c>
      <c r="G21" s="74" t="s">
        <v>856</v>
      </c>
    </row>
    <row r="22" spans="2:7" x14ac:dyDescent="0.55000000000000004">
      <c r="B22" s="100"/>
      <c r="C22" s="103"/>
      <c r="D22" s="107"/>
      <c r="E22" s="73" t="str">
        <f t="shared" si="0"/>
        <v>GIR306 - 본점</v>
      </c>
      <c r="F22" s="96" t="s">
        <v>857</v>
      </c>
      <c r="G22" s="74" t="s">
        <v>858</v>
      </c>
    </row>
    <row r="23" spans="2:7" x14ac:dyDescent="0.55000000000000004">
      <c r="B23" s="100"/>
      <c r="C23" s="103"/>
      <c r="D23" s="107"/>
      <c r="E23" s="73" t="str">
        <f t="shared" si="0"/>
        <v>GIR307 - 소수지분모기업</v>
      </c>
      <c r="F23" s="96" t="s">
        <v>859</v>
      </c>
      <c r="G23" s="74" t="s">
        <v>860</v>
      </c>
    </row>
    <row r="24" spans="2:7" x14ac:dyDescent="0.55000000000000004">
      <c r="B24" s="100"/>
      <c r="C24" s="103"/>
      <c r="D24" s="107"/>
      <c r="E24" s="73" t="str">
        <f t="shared" si="0"/>
        <v>GIR308 - 소수지분자회사</v>
      </c>
      <c r="F24" s="96" t="s">
        <v>861</v>
      </c>
      <c r="G24" s="74" t="s">
        <v>862</v>
      </c>
    </row>
    <row r="25" spans="2:7" x14ac:dyDescent="0.55000000000000004">
      <c r="B25" s="100"/>
      <c r="C25" s="103"/>
      <c r="D25" s="107"/>
      <c r="E25" s="73" t="str">
        <f t="shared" si="0"/>
        <v>GIR309 - 독립형 소수지분구성기업</v>
      </c>
      <c r="F25" s="96" t="s">
        <v>863</v>
      </c>
      <c r="G25" s="74" t="s">
        <v>864</v>
      </c>
    </row>
    <row r="26" spans="2:7" x14ac:dyDescent="0.55000000000000004">
      <c r="B26" s="100"/>
      <c r="C26" s="103"/>
      <c r="D26" s="107"/>
      <c r="E26" s="73" t="str">
        <f t="shared" si="0"/>
        <v>GIR310 - 투자구성기업</v>
      </c>
      <c r="F26" s="96" t="s">
        <v>865</v>
      </c>
      <c r="G26" s="74" t="s">
        <v>866</v>
      </c>
    </row>
    <row r="27" spans="2:7" x14ac:dyDescent="0.55000000000000004">
      <c r="B27" s="100"/>
      <c r="C27" s="103"/>
      <c r="D27" s="107"/>
      <c r="E27" s="73" t="str">
        <f t="shared" si="0"/>
        <v>GIR311 - 보험투자기업</v>
      </c>
      <c r="F27" s="96" t="s">
        <v>867</v>
      </c>
      <c r="G27" s="74" t="s">
        <v>868</v>
      </c>
    </row>
    <row r="28" spans="2:7" x14ac:dyDescent="0.55000000000000004">
      <c r="B28" s="100"/>
      <c r="C28" s="103"/>
      <c r="D28" s="107"/>
      <c r="E28" s="73" t="str">
        <f t="shared" si="0"/>
        <v>GIR312 - 유동화회사</v>
      </c>
      <c r="F28" s="96" t="s">
        <v>869</v>
      </c>
      <c r="G28" s="74" t="s">
        <v>870</v>
      </c>
    </row>
    <row r="29" spans="2:7" x14ac:dyDescent="0.55000000000000004">
      <c r="B29" s="100"/>
      <c r="C29" s="103"/>
      <c r="D29" s="107"/>
      <c r="E29" s="73" t="str">
        <f t="shared" si="0"/>
        <v>GIR313 - 공동기업</v>
      </c>
      <c r="F29" s="96" t="s">
        <v>871</v>
      </c>
      <c r="G29" s="74" t="s">
        <v>872</v>
      </c>
    </row>
    <row r="30" spans="2:7" x14ac:dyDescent="0.55000000000000004">
      <c r="B30" s="100"/>
      <c r="C30" s="103"/>
      <c r="D30" s="107"/>
      <c r="E30" s="73" t="str">
        <f t="shared" si="0"/>
        <v>GIR314 - 공동기업 자회사</v>
      </c>
      <c r="F30" s="96" t="s">
        <v>873</v>
      </c>
      <c r="G30" s="74" t="s">
        <v>874</v>
      </c>
    </row>
    <row r="31" spans="2:7" x14ac:dyDescent="0.55000000000000004">
      <c r="B31" s="100"/>
      <c r="C31" s="103"/>
      <c r="D31" s="107"/>
      <c r="E31" s="73" t="str">
        <f t="shared" si="0"/>
        <v>GIR315 - 중요성이 낮은 구성기업</v>
      </c>
      <c r="F31" s="96" t="s">
        <v>875</v>
      </c>
      <c r="G31" s="74" t="s">
        <v>876</v>
      </c>
    </row>
    <row r="32" spans="2:7" x14ac:dyDescent="0.55000000000000004">
      <c r="B32" s="100"/>
      <c r="C32" s="103"/>
      <c r="D32" s="107"/>
      <c r="E32" s="73" t="str">
        <f t="shared" si="0"/>
        <v>GIR316 - 제외기업</v>
      </c>
      <c r="F32" s="96" t="s">
        <v>877</v>
      </c>
      <c r="G32" s="74" t="s">
        <v>213</v>
      </c>
    </row>
    <row r="33" spans="2:7" x14ac:dyDescent="0.55000000000000004">
      <c r="B33" s="100"/>
      <c r="C33" s="103"/>
      <c r="D33" s="107"/>
      <c r="E33" s="73" t="str">
        <f t="shared" si="0"/>
        <v>GIR317 - 적격소득산입규칙을 적용하여야 하는 모기업</v>
      </c>
      <c r="F33" s="96" t="s">
        <v>878</v>
      </c>
      <c r="G33" s="74" t="s">
        <v>879</v>
      </c>
    </row>
    <row r="34" spans="2:7" x14ac:dyDescent="0.55000000000000004">
      <c r="B34" s="101"/>
      <c r="C34" s="104"/>
      <c r="D34" s="107"/>
      <c r="E34" s="75" t="str">
        <f t="shared" si="0"/>
        <v>GIR318 - 그룹 외 기업</v>
      </c>
      <c r="F34" s="97" t="s">
        <v>880</v>
      </c>
      <c r="G34" s="76" t="s">
        <v>881</v>
      </c>
    </row>
    <row r="35" spans="2:7" x14ac:dyDescent="0.55000000000000004">
      <c r="B35" s="99" t="s">
        <v>1154</v>
      </c>
      <c r="C35" s="102" t="s">
        <v>1155</v>
      </c>
      <c r="D35" s="107" t="s">
        <v>882</v>
      </c>
      <c r="E35" s="77" t="str">
        <f t="shared" si="0"/>
        <v>GIR601 - 정부기업</v>
      </c>
      <c r="F35" s="98" t="s">
        <v>883</v>
      </c>
      <c r="G35" s="78" t="s">
        <v>884</v>
      </c>
    </row>
    <row r="36" spans="2:7" x14ac:dyDescent="0.55000000000000004">
      <c r="B36" s="100"/>
      <c r="C36" s="103"/>
      <c r="D36" s="107"/>
      <c r="E36" s="73" t="str">
        <f t="shared" si="0"/>
        <v>GIR602 - 국제기구</v>
      </c>
      <c r="F36" s="96" t="s">
        <v>885</v>
      </c>
      <c r="G36" s="74" t="s">
        <v>886</v>
      </c>
    </row>
    <row r="37" spans="2:7" x14ac:dyDescent="0.55000000000000004">
      <c r="B37" s="100"/>
      <c r="C37" s="103"/>
      <c r="D37" s="107"/>
      <c r="E37" s="73" t="str">
        <f t="shared" si="0"/>
        <v>GIR603 - 비영리기구</v>
      </c>
      <c r="F37" s="96" t="s">
        <v>887</v>
      </c>
      <c r="G37" s="74" t="s">
        <v>888</v>
      </c>
    </row>
    <row r="38" spans="2:7" x14ac:dyDescent="0.55000000000000004">
      <c r="B38" s="100"/>
      <c r="C38" s="103"/>
      <c r="D38" s="107"/>
      <c r="E38" s="73" t="str">
        <f t="shared" si="0"/>
        <v>GIR604 - 연금펀드</v>
      </c>
      <c r="F38" s="96" t="s">
        <v>889</v>
      </c>
      <c r="G38" s="74" t="s">
        <v>890</v>
      </c>
    </row>
    <row r="39" spans="2:7" x14ac:dyDescent="0.55000000000000004">
      <c r="B39" s="100"/>
      <c r="C39" s="103"/>
      <c r="D39" s="107"/>
      <c r="E39" s="73" t="str">
        <f t="shared" si="0"/>
        <v>GIR605 - 최종모기업인 투자펀드</v>
      </c>
      <c r="F39" s="96" t="s">
        <v>891</v>
      </c>
      <c r="G39" s="74" t="s">
        <v>892</v>
      </c>
    </row>
    <row r="40" spans="2:7" x14ac:dyDescent="0.55000000000000004">
      <c r="B40" s="101"/>
      <c r="C40" s="104"/>
      <c r="D40" s="107"/>
      <c r="E40" s="75" t="str">
        <f t="shared" si="0"/>
        <v>GIR606 - 최종모기업인 부동산투자기구</v>
      </c>
      <c r="F40" s="97" t="s">
        <v>893</v>
      </c>
      <c r="G40" s="76" t="s">
        <v>894</v>
      </c>
    </row>
    <row r="41" spans="2:7" ht="30" x14ac:dyDescent="0.55000000000000004">
      <c r="B41" s="99" t="s">
        <v>1156</v>
      </c>
      <c r="C41" s="102" t="s">
        <v>1151</v>
      </c>
      <c r="D41" s="107" t="s">
        <v>837</v>
      </c>
      <c r="E41" s="77" t="str">
        <f t="shared" si="0"/>
        <v>GIR201 - 다른 국가에 소재하는 저율과세구성기업에만 적용되는 적격소득산입규칙</v>
      </c>
      <c r="F41" s="98" t="s">
        <v>838</v>
      </c>
      <c r="G41" s="78" t="s">
        <v>839</v>
      </c>
    </row>
    <row r="42" spans="2:7" ht="30" x14ac:dyDescent="0.55000000000000004">
      <c r="B42" s="100"/>
      <c r="C42" s="103"/>
      <c r="D42" s="107"/>
      <c r="E42" s="73" t="str">
        <f t="shared" si="0"/>
        <v>GIR202 - 다른 국가와 모기업 소재지국에 소재하는 저율과세구성기업 모두에 적용되는 적격소득산입규칙</v>
      </c>
      <c r="F42" s="96" t="s">
        <v>840</v>
      </c>
      <c r="G42" s="74" t="s">
        <v>841</v>
      </c>
    </row>
    <row r="43" spans="2:7" x14ac:dyDescent="0.55000000000000004">
      <c r="B43" s="100"/>
      <c r="C43" s="103"/>
      <c r="D43" s="107"/>
      <c r="E43" s="73" t="str">
        <f t="shared" si="0"/>
        <v>GIR203 - 적격소득산입보완규칙</v>
      </c>
      <c r="F43" s="96" t="s">
        <v>842</v>
      </c>
      <c r="G43" s="74" t="s">
        <v>843</v>
      </c>
    </row>
    <row r="44" spans="2:7" x14ac:dyDescent="0.55000000000000004">
      <c r="B44" s="100"/>
      <c r="C44" s="103"/>
      <c r="D44" s="107"/>
      <c r="E44" s="73" t="str">
        <f t="shared" si="0"/>
        <v>GIR204 - 적격소재국추가세제도</v>
      </c>
      <c r="F44" s="96" t="s">
        <v>844</v>
      </c>
      <c r="G44" s="74" t="s">
        <v>845</v>
      </c>
    </row>
    <row r="45" spans="2:7" x14ac:dyDescent="0.55000000000000004">
      <c r="B45" s="101"/>
      <c r="C45" s="104"/>
      <c r="D45" s="107"/>
      <c r="E45" s="75" t="str">
        <f t="shared" si="0"/>
        <v>GIR205 - 해당사항 없음</v>
      </c>
      <c r="F45" s="97" t="s">
        <v>846</v>
      </c>
      <c r="G45" s="76" t="s">
        <v>847</v>
      </c>
    </row>
    <row r="46" spans="2:7" x14ac:dyDescent="0.55000000000000004">
      <c r="B46" s="99" t="s">
        <v>1157</v>
      </c>
      <c r="C46" s="102" t="s">
        <v>1153</v>
      </c>
      <c r="D46" s="107" t="s">
        <v>1174</v>
      </c>
      <c r="E46" s="77" t="str">
        <f t="shared" si="0"/>
        <v>GIR301 - 구성기업</v>
      </c>
      <c r="F46" s="98" t="s">
        <v>848</v>
      </c>
      <c r="G46" s="78" t="s">
        <v>825</v>
      </c>
    </row>
    <row r="47" spans="2:7" x14ac:dyDescent="0.55000000000000004">
      <c r="B47" s="100"/>
      <c r="C47" s="103"/>
      <c r="D47" s="107"/>
      <c r="E47" s="73" t="str">
        <f t="shared" si="0"/>
        <v>GIR302 - 투과기업-투자과세기업</v>
      </c>
      <c r="F47" s="96" t="s">
        <v>849</v>
      </c>
      <c r="G47" s="74" t="s">
        <v>850</v>
      </c>
    </row>
    <row r="48" spans="2:7" x14ac:dyDescent="0.55000000000000004">
      <c r="B48" s="100"/>
      <c r="C48" s="103"/>
      <c r="D48" s="107"/>
      <c r="E48" s="73" t="str">
        <f t="shared" si="0"/>
        <v>GIR303 - 투과기업-역혼성기업</v>
      </c>
      <c r="F48" s="96" t="s">
        <v>851</v>
      </c>
      <c r="G48" s="74" t="s">
        <v>852</v>
      </c>
    </row>
    <row r="49" spans="2:7" x14ac:dyDescent="0.55000000000000004">
      <c r="B49" s="100"/>
      <c r="C49" s="103"/>
      <c r="D49" s="107"/>
      <c r="E49" s="73" t="str">
        <f t="shared" si="0"/>
        <v>GIR304 - 혼성기업</v>
      </c>
      <c r="F49" s="96" t="s">
        <v>853</v>
      </c>
      <c r="G49" s="74" t="s">
        <v>854</v>
      </c>
    </row>
    <row r="50" spans="2:7" x14ac:dyDescent="0.55000000000000004">
      <c r="B50" s="100"/>
      <c r="C50" s="103"/>
      <c r="D50" s="107"/>
      <c r="E50" s="73" t="str">
        <f t="shared" si="0"/>
        <v>GIR305 - 고정사업장</v>
      </c>
      <c r="F50" s="96" t="s">
        <v>855</v>
      </c>
      <c r="G50" s="74" t="s">
        <v>856</v>
      </c>
    </row>
    <row r="51" spans="2:7" x14ac:dyDescent="0.55000000000000004">
      <c r="B51" s="100"/>
      <c r="C51" s="103"/>
      <c r="D51" s="107"/>
      <c r="E51" s="73" t="str">
        <f t="shared" si="0"/>
        <v>GIR306 - 본점</v>
      </c>
      <c r="F51" s="96" t="s">
        <v>857</v>
      </c>
      <c r="G51" s="74" t="s">
        <v>858</v>
      </c>
    </row>
    <row r="52" spans="2:7" x14ac:dyDescent="0.55000000000000004">
      <c r="B52" s="100"/>
      <c r="C52" s="103"/>
      <c r="D52" s="107"/>
      <c r="E52" s="73" t="str">
        <f t="shared" si="0"/>
        <v>GIR307 - 소수지분모기업</v>
      </c>
      <c r="F52" s="96" t="s">
        <v>859</v>
      </c>
      <c r="G52" s="74" t="s">
        <v>860</v>
      </c>
    </row>
    <row r="53" spans="2:7" x14ac:dyDescent="0.55000000000000004">
      <c r="B53" s="100"/>
      <c r="C53" s="103"/>
      <c r="D53" s="107"/>
      <c r="E53" s="73" t="str">
        <f t="shared" si="0"/>
        <v>GIR308 - 소수지분자회사</v>
      </c>
      <c r="F53" s="96" t="s">
        <v>861</v>
      </c>
      <c r="G53" s="74" t="s">
        <v>862</v>
      </c>
    </row>
    <row r="54" spans="2:7" x14ac:dyDescent="0.55000000000000004">
      <c r="B54" s="100"/>
      <c r="C54" s="103"/>
      <c r="D54" s="107"/>
      <c r="E54" s="73" t="str">
        <f t="shared" si="0"/>
        <v>GIR309 - 독립형 소수지분구성기업</v>
      </c>
      <c r="F54" s="96" t="s">
        <v>863</v>
      </c>
      <c r="G54" s="74" t="s">
        <v>864</v>
      </c>
    </row>
    <row r="55" spans="2:7" x14ac:dyDescent="0.55000000000000004">
      <c r="B55" s="100"/>
      <c r="C55" s="103"/>
      <c r="D55" s="107"/>
      <c r="E55" s="73" t="str">
        <f t="shared" si="0"/>
        <v>GIR310 - 투자구성기업</v>
      </c>
      <c r="F55" s="96" t="s">
        <v>865</v>
      </c>
      <c r="G55" s="74" t="s">
        <v>866</v>
      </c>
    </row>
    <row r="56" spans="2:7" x14ac:dyDescent="0.55000000000000004">
      <c r="B56" s="100"/>
      <c r="C56" s="103"/>
      <c r="D56" s="107"/>
      <c r="E56" s="73" t="str">
        <f t="shared" si="0"/>
        <v>GIR311 - 보험투자기업</v>
      </c>
      <c r="F56" s="96" t="s">
        <v>867</v>
      </c>
      <c r="G56" s="74" t="s">
        <v>868</v>
      </c>
    </row>
    <row r="57" spans="2:7" x14ac:dyDescent="0.55000000000000004">
      <c r="B57" s="100"/>
      <c r="C57" s="103"/>
      <c r="D57" s="107"/>
      <c r="E57" s="73" t="str">
        <f t="shared" si="0"/>
        <v>GIR312 - 유동화회사</v>
      </c>
      <c r="F57" s="96" t="s">
        <v>869</v>
      </c>
      <c r="G57" s="74" t="s">
        <v>870</v>
      </c>
    </row>
    <row r="58" spans="2:7" x14ac:dyDescent="0.55000000000000004">
      <c r="B58" s="100"/>
      <c r="C58" s="103"/>
      <c r="D58" s="107"/>
      <c r="E58" s="73" t="str">
        <f t="shared" si="0"/>
        <v>GIR313 - 공동기업</v>
      </c>
      <c r="F58" s="96" t="s">
        <v>871</v>
      </c>
      <c r="G58" s="74" t="s">
        <v>872</v>
      </c>
    </row>
    <row r="59" spans="2:7" x14ac:dyDescent="0.55000000000000004">
      <c r="B59" s="100"/>
      <c r="C59" s="103"/>
      <c r="D59" s="107"/>
      <c r="E59" s="73" t="str">
        <f t="shared" si="0"/>
        <v>GIR314 - 공동기업 자회사</v>
      </c>
      <c r="F59" s="96" t="s">
        <v>873</v>
      </c>
      <c r="G59" s="74" t="s">
        <v>874</v>
      </c>
    </row>
    <row r="60" spans="2:7" x14ac:dyDescent="0.55000000000000004">
      <c r="B60" s="100"/>
      <c r="C60" s="103"/>
      <c r="D60" s="107"/>
      <c r="E60" s="73" t="str">
        <f t="shared" si="0"/>
        <v>GIR315 - 중요성이 낮은 구성기업</v>
      </c>
      <c r="F60" s="96" t="s">
        <v>875</v>
      </c>
      <c r="G60" s="74" t="s">
        <v>876</v>
      </c>
    </row>
    <row r="61" spans="2:7" x14ac:dyDescent="0.55000000000000004">
      <c r="B61" s="100"/>
      <c r="C61" s="103"/>
      <c r="D61" s="107"/>
      <c r="E61" s="73" t="str">
        <f t="shared" si="0"/>
        <v>GIR316 - 제외기업</v>
      </c>
      <c r="F61" s="96" t="s">
        <v>877</v>
      </c>
      <c r="G61" s="74" t="s">
        <v>213</v>
      </c>
    </row>
    <row r="62" spans="2:7" x14ac:dyDescent="0.55000000000000004">
      <c r="B62" s="100"/>
      <c r="C62" s="103"/>
      <c r="D62" s="107"/>
      <c r="E62" s="73" t="str">
        <f t="shared" si="0"/>
        <v>GIR317 - 적격소득산입규칙을 적용하여야 하는 모기업</v>
      </c>
      <c r="F62" s="96" t="s">
        <v>878</v>
      </c>
      <c r="G62" s="74" t="s">
        <v>879</v>
      </c>
    </row>
    <row r="63" spans="2:7" x14ac:dyDescent="0.55000000000000004">
      <c r="B63" s="101"/>
      <c r="C63" s="104"/>
      <c r="D63" s="107"/>
      <c r="E63" s="75" t="str">
        <f t="shared" si="0"/>
        <v>GIR318 - 그룹 외 기업</v>
      </c>
      <c r="F63" s="97" t="s">
        <v>880</v>
      </c>
      <c r="G63" s="76" t="s">
        <v>881</v>
      </c>
    </row>
    <row r="64" spans="2:7" x14ac:dyDescent="0.55000000000000004">
      <c r="B64" s="99" t="s">
        <v>55</v>
      </c>
      <c r="C64" s="102" t="s">
        <v>56</v>
      </c>
      <c r="D64" s="107" t="s">
        <v>895</v>
      </c>
      <c r="E64" s="77" t="str">
        <f t="shared" si="0"/>
        <v>GIR801 - 최종모기업</v>
      </c>
      <c r="F64" s="98" t="s">
        <v>896</v>
      </c>
      <c r="G64" s="79" t="s">
        <v>208</v>
      </c>
    </row>
    <row r="65" spans="2:7" x14ac:dyDescent="0.55000000000000004">
      <c r="B65" s="100"/>
      <c r="C65" s="103"/>
      <c r="D65" s="107"/>
      <c r="E65" s="73" t="str">
        <f t="shared" si="0"/>
        <v>GIR802 - 구성기업</v>
      </c>
      <c r="F65" s="96" t="s">
        <v>897</v>
      </c>
      <c r="G65" s="80" t="s">
        <v>825</v>
      </c>
    </row>
    <row r="66" spans="2:7" x14ac:dyDescent="0.55000000000000004">
      <c r="B66" s="100"/>
      <c r="C66" s="103"/>
      <c r="D66" s="107"/>
      <c r="E66" s="73" t="str">
        <f t="shared" si="0"/>
        <v>GIR803 - 공동기업</v>
      </c>
      <c r="F66" s="96" t="s">
        <v>898</v>
      </c>
      <c r="G66" s="80" t="s">
        <v>872</v>
      </c>
    </row>
    <row r="67" spans="2:7" x14ac:dyDescent="0.55000000000000004">
      <c r="B67" s="100"/>
      <c r="C67" s="103"/>
      <c r="D67" s="107"/>
      <c r="E67" s="73" t="str">
        <f t="shared" si="0"/>
        <v>GIR804 - 공동기업 자회사</v>
      </c>
      <c r="F67" s="96" t="s">
        <v>899</v>
      </c>
      <c r="G67" s="80" t="s">
        <v>874</v>
      </c>
    </row>
    <row r="68" spans="2:7" x14ac:dyDescent="0.55000000000000004">
      <c r="B68" s="100"/>
      <c r="C68" s="103"/>
      <c r="D68" s="107"/>
      <c r="E68" s="73" t="str">
        <f t="shared" ref="E68:E110" si="1">_xlfn.CONCAT(F68," - ",G68)</f>
        <v>GIR805 - 제외기업(전체)</v>
      </c>
      <c r="F68" s="96" t="s">
        <v>900</v>
      </c>
      <c r="G68" s="80" t="s">
        <v>901</v>
      </c>
    </row>
    <row r="69" spans="2:7" x14ac:dyDescent="0.55000000000000004">
      <c r="B69" s="101"/>
      <c r="C69" s="104"/>
      <c r="D69" s="107"/>
      <c r="E69" s="75" t="str">
        <f t="shared" si="1"/>
        <v>GIR806 - 그룹 외 기업(전체)</v>
      </c>
      <c r="F69" s="97" t="s">
        <v>902</v>
      </c>
      <c r="G69" s="81" t="s">
        <v>903</v>
      </c>
    </row>
    <row r="70" spans="2:7" x14ac:dyDescent="0.55000000000000004">
      <c r="B70" s="99" t="s">
        <v>1158</v>
      </c>
      <c r="C70" s="102" t="s">
        <v>1159</v>
      </c>
      <c r="D70" s="107" t="s">
        <v>904</v>
      </c>
      <c r="E70" s="77" t="str">
        <f t="shared" si="1"/>
        <v>GIR901 - 부분소유모기업</v>
      </c>
      <c r="F70" s="98" t="s">
        <v>905</v>
      </c>
      <c r="G70" s="78" t="s">
        <v>906</v>
      </c>
    </row>
    <row r="71" spans="2:7" x14ac:dyDescent="0.55000000000000004">
      <c r="B71" s="100"/>
      <c r="C71" s="103"/>
      <c r="D71" s="107"/>
      <c r="E71" s="73" t="str">
        <f t="shared" si="1"/>
        <v>GIR902 - 중간모기업</v>
      </c>
      <c r="F71" s="96" t="s">
        <v>907</v>
      </c>
      <c r="G71" s="74" t="s">
        <v>908</v>
      </c>
    </row>
    <row r="72" spans="2:7" x14ac:dyDescent="0.55000000000000004">
      <c r="B72" s="101"/>
      <c r="C72" s="104"/>
      <c r="D72" s="107"/>
      <c r="E72" s="75" t="str">
        <f t="shared" si="1"/>
        <v>GIR903 - 적격소득산입규칙을 적용하여야 하는 모기업</v>
      </c>
      <c r="F72" s="97" t="s">
        <v>909</v>
      </c>
      <c r="G72" s="76" t="s">
        <v>879</v>
      </c>
    </row>
    <row r="73" spans="2:7" x14ac:dyDescent="0.55000000000000004">
      <c r="B73" s="99" t="s">
        <v>1160</v>
      </c>
      <c r="C73" s="102" t="s">
        <v>1155</v>
      </c>
      <c r="D73" s="107" t="s">
        <v>910</v>
      </c>
      <c r="E73" s="77" t="str">
        <f t="shared" si="1"/>
        <v>GIR1001 - 정부기구</v>
      </c>
      <c r="F73" s="98" t="s">
        <v>911</v>
      </c>
      <c r="G73" s="78" t="s">
        <v>912</v>
      </c>
    </row>
    <row r="74" spans="2:7" x14ac:dyDescent="0.55000000000000004">
      <c r="B74" s="100"/>
      <c r="C74" s="103"/>
      <c r="D74" s="107"/>
      <c r="E74" s="73" t="str">
        <f t="shared" si="1"/>
        <v>GIR1002 - 국제기구</v>
      </c>
      <c r="F74" s="96" t="s">
        <v>913</v>
      </c>
      <c r="G74" s="74" t="s">
        <v>886</v>
      </c>
    </row>
    <row r="75" spans="2:7" x14ac:dyDescent="0.55000000000000004">
      <c r="B75" s="100"/>
      <c r="C75" s="103"/>
      <c r="D75" s="107"/>
      <c r="E75" s="73" t="str">
        <f t="shared" si="1"/>
        <v>GIR1003 - 비영리기구</v>
      </c>
      <c r="F75" s="96" t="s">
        <v>914</v>
      </c>
      <c r="G75" s="74" t="s">
        <v>888</v>
      </c>
    </row>
    <row r="76" spans="2:7" x14ac:dyDescent="0.55000000000000004">
      <c r="B76" s="100"/>
      <c r="C76" s="103"/>
      <c r="D76" s="107"/>
      <c r="E76" s="73" t="str">
        <f t="shared" si="1"/>
        <v>GIR1004 - 연금펀드</v>
      </c>
      <c r="F76" s="96" t="s">
        <v>915</v>
      </c>
      <c r="G76" s="74" t="s">
        <v>890</v>
      </c>
    </row>
    <row r="77" spans="2:7" x14ac:dyDescent="0.55000000000000004">
      <c r="B77" s="100"/>
      <c r="C77" s="103"/>
      <c r="D77" s="107"/>
      <c r="E77" s="73" t="str">
        <f t="shared" si="1"/>
        <v>GIR1005 - 최종모기업인 투자펀드</v>
      </c>
      <c r="F77" s="96" t="s">
        <v>916</v>
      </c>
      <c r="G77" s="74" t="s">
        <v>892</v>
      </c>
    </row>
    <row r="78" spans="2:7" x14ac:dyDescent="0.55000000000000004">
      <c r="B78" s="100"/>
      <c r="C78" s="103"/>
      <c r="D78" s="107"/>
      <c r="E78" s="73" t="str">
        <f t="shared" si="1"/>
        <v>GIR1006 - 최종모기업인 부동산투자기구</v>
      </c>
      <c r="F78" s="96" t="s">
        <v>917</v>
      </c>
      <c r="G78" s="74" t="s">
        <v>894</v>
      </c>
    </row>
    <row r="79" spans="2:7" x14ac:dyDescent="0.55000000000000004">
      <c r="B79" s="100"/>
      <c r="C79" s="103"/>
      <c r="D79" s="107"/>
      <c r="E79" s="73" t="str">
        <f t="shared" si="1"/>
        <v>GIR1007 - 제외기업이 소유한 기업(제외기업 지분 95%)</v>
      </c>
      <c r="F79" s="96" t="s">
        <v>918</v>
      </c>
      <c r="G79" s="74" t="s">
        <v>919</v>
      </c>
    </row>
    <row r="80" spans="2:7" x14ac:dyDescent="0.55000000000000004">
      <c r="B80" s="101"/>
      <c r="C80" s="104"/>
      <c r="D80" s="107"/>
      <c r="E80" s="75" t="str">
        <f t="shared" si="1"/>
        <v>GIR1008 - 제외기업이 소유한 기업(제외기업 지분 85%)</v>
      </c>
      <c r="F80" s="97" t="s">
        <v>920</v>
      </c>
      <c r="G80" s="76" t="s">
        <v>921</v>
      </c>
    </row>
    <row r="81" spans="2:7" x14ac:dyDescent="0.55000000000000004">
      <c r="B81" s="99" t="s">
        <v>1161</v>
      </c>
      <c r="C81" s="102" t="s">
        <v>1162</v>
      </c>
      <c r="D81" s="107" t="s">
        <v>1175</v>
      </c>
      <c r="E81" s="77" t="str">
        <f t="shared" si="1"/>
        <v>GIR701 - 구성기업</v>
      </c>
      <c r="F81" s="98" t="s">
        <v>922</v>
      </c>
      <c r="G81" s="78" t="s">
        <v>825</v>
      </c>
    </row>
    <row r="82" spans="2:7" x14ac:dyDescent="0.55000000000000004">
      <c r="B82" s="100"/>
      <c r="C82" s="103"/>
      <c r="D82" s="107"/>
      <c r="E82" s="73" t="str">
        <f t="shared" si="1"/>
        <v>GIR702 - 투과기업 투자과세기업</v>
      </c>
      <c r="F82" s="96" t="s">
        <v>923</v>
      </c>
      <c r="G82" s="74" t="s">
        <v>924</v>
      </c>
    </row>
    <row r="83" spans="2:7" x14ac:dyDescent="0.55000000000000004">
      <c r="B83" s="100"/>
      <c r="C83" s="103"/>
      <c r="D83" s="107"/>
      <c r="E83" s="73" t="str">
        <f t="shared" si="1"/>
        <v>GIR703 - 투과기업 역혼성기업</v>
      </c>
      <c r="F83" s="96" t="s">
        <v>925</v>
      </c>
      <c r="G83" s="74" t="s">
        <v>926</v>
      </c>
    </row>
    <row r="84" spans="2:7" x14ac:dyDescent="0.55000000000000004">
      <c r="B84" s="100"/>
      <c r="C84" s="103"/>
      <c r="D84" s="107"/>
      <c r="E84" s="73" t="str">
        <f t="shared" si="1"/>
        <v>GIR704 - 혼성기업</v>
      </c>
      <c r="F84" s="96" t="s">
        <v>927</v>
      </c>
      <c r="G84" s="74" t="s">
        <v>854</v>
      </c>
    </row>
    <row r="85" spans="2:7" x14ac:dyDescent="0.55000000000000004">
      <c r="B85" s="100"/>
      <c r="C85" s="103"/>
      <c r="D85" s="107"/>
      <c r="E85" s="73" t="str">
        <f t="shared" si="1"/>
        <v>GIR705 - 고정사업장</v>
      </c>
      <c r="F85" s="96" t="s">
        <v>928</v>
      </c>
      <c r="G85" s="74" t="s">
        <v>856</v>
      </c>
    </row>
    <row r="86" spans="2:7" x14ac:dyDescent="0.55000000000000004">
      <c r="B86" s="100"/>
      <c r="C86" s="103"/>
      <c r="D86" s="107"/>
      <c r="E86" s="73" t="str">
        <f t="shared" si="1"/>
        <v>GIR706 - 본점</v>
      </c>
      <c r="F86" s="96" t="s">
        <v>929</v>
      </c>
      <c r="G86" s="74" t="s">
        <v>858</v>
      </c>
    </row>
    <row r="87" spans="2:7" x14ac:dyDescent="0.55000000000000004">
      <c r="B87" s="100"/>
      <c r="C87" s="103"/>
      <c r="D87" s="107"/>
      <c r="E87" s="73" t="str">
        <f t="shared" si="1"/>
        <v>GIR707 - 소수지분모기업</v>
      </c>
      <c r="F87" s="96" t="s">
        <v>930</v>
      </c>
      <c r="G87" s="74" t="s">
        <v>860</v>
      </c>
    </row>
    <row r="88" spans="2:7" x14ac:dyDescent="0.55000000000000004">
      <c r="B88" s="100"/>
      <c r="C88" s="103"/>
      <c r="D88" s="107"/>
      <c r="E88" s="73" t="str">
        <f t="shared" si="1"/>
        <v>GIR708 - 소수지분자회사</v>
      </c>
      <c r="F88" s="96" t="s">
        <v>931</v>
      </c>
      <c r="G88" s="74" t="s">
        <v>862</v>
      </c>
    </row>
    <row r="89" spans="2:7" x14ac:dyDescent="0.55000000000000004">
      <c r="B89" s="100"/>
      <c r="C89" s="103"/>
      <c r="D89" s="107"/>
      <c r="E89" s="73" t="str">
        <f t="shared" si="1"/>
        <v>GIR709 - (독립형) 소수지분구성기업</v>
      </c>
      <c r="F89" s="96" t="s">
        <v>932</v>
      </c>
      <c r="G89" s="74" t="s">
        <v>933</v>
      </c>
    </row>
    <row r="90" spans="2:7" x14ac:dyDescent="0.55000000000000004">
      <c r="B90" s="100"/>
      <c r="C90" s="103"/>
      <c r="D90" s="107"/>
      <c r="E90" s="73" t="str">
        <f t="shared" si="1"/>
        <v>GIR710 - 투자구성기업</v>
      </c>
      <c r="F90" s="96" t="s">
        <v>934</v>
      </c>
      <c r="G90" s="74" t="s">
        <v>866</v>
      </c>
    </row>
    <row r="91" spans="2:7" x14ac:dyDescent="0.55000000000000004">
      <c r="B91" s="100"/>
      <c r="C91" s="103"/>
      <c r="D91" s="107"/>
      <c r="E91" s="73" t="str">
        <f t="shared" si="1"/>
        <v>GIR711 - 보험투자기업</v>
      </c>
      <c r="F91" s="96" t="s">
        <v>935</v>
      </c>
      <c r="G91" s="74" t="s">
        <v>868</v>
      </c>
    </row>
    <row r="92" spans="2:7" x14ac:dyDescent="0.55000000000000004">
      <c r="B92" s="100"/>
      <c r="C92" s="103"/>
      <c r="D92" s="107"/>
      <c r="E92" s="73" t="str">
        <f t="shared" si="1"/>
        <v>GIR712 - 유동화회사</v>
      </c>
      <c r="F92" s="96" t="s">
        <v>936</v>
      </c>
      <c r="G92" s="74" t="s">
        <v>870</v>
      </c>
    </row>
    <row r="93" spans="2:7" x14ac:dyDescent="0.55000000000000004">
      <c r="B93" s="100"/>
      <c r="C93" s="103"/>
      <c r="D93" s="107"/>
      <c r="E93" s="73" t="str">
        <f t="shared" si="1"/>
        <v>GIR713 - 공동기업</v>
      </c>
      <c r="F93" s="96" t="s">
        <v>937</v>
      </c>
      <c r="G93" s="74" t="s">
        <v>872</v>
      </c>
    </row>
    <row r="94" spans="2:7" x14ac:dyDescent="0.55000000000000004">
      <c r="B94" s="100"/>
      <c r="C94" s="103"/>
      <c r="D94" s="107"/>
      <c r="E94" s="73" t="str">
        <f t="shared" si="1"/>
        <v>GIR714 - 공동기업 자회사</v>
      </c>
      <c r="F94" s="96" t="s">
        <v>938</v>
      </c>
      <c r="G94" s="74" t="s">
        <v>874</v>
      </c>
    </row>
    <row r="95" spans="2:7" x14ac:dyDescent="0.55000000000000004">
      <c r="B95" s="100"/>
      <c r="C95" s="103"/>
      <c r="D95" s="107"/>
      <c r="E95" s="73" t="str">
        <f t="shared" si="1"/>
        <v>GIR715 - 중요성이 낮은 구성기업</v>
      </c>
      <c r="F95" s="96" t="s">
        <v>939</v>
      </c>
      <c r="G95" s="74" t="s">
        <v>876</v>
      </c>
    </row>
    <row r="96" spans="2:7" x14ac:dyDescent="0.55000000000000004">
      <c r="B96" s="100"/>
      <c r="C96" s="103"/>
      <c r="D96" s="107"/>
      <c r="E96" s="73" t="str">
        <f t="shared" si="1"/>
        <v>GIR716 - 부분모기업</v>
      </c>
      <c r="F96" s="96" t="s">
        <v>940</v>
      </c>
      <c r="G96" s="74" t="s">
        <v>941</v>
      </c>
    </row>
    <row r="97" spans="2:7" x14ac:dyDescent="0.55000000000000004">
      <c r="B97" s="100"/>
      <c r="C97" s="103"/>
      <c r="D97" s="107"/>
      <c r="E97" s="73" t="str">
        <f t="shared" si="1"/>
        <v>GIR717 - 중간모기업</v>
      </c>
      <c r="F97" s="96" t="s">
        <v>942</v>
      </c>
      <c r="G97" s="74" t="s">
        <v>908</v>
      </c>
    </row>
    <row r="98" spans="2:7" x14ac:dyDescent="0.55000000000000004">
      <c r="B98" s="100"/>
      <c r="C98" s="103"/>
      <c r="D98" s="107"/>
      <c r="E98" s="73" t="str">
        <f t="shared" si="1"/>
        <v>GIR718 - 최종모기업</v>
      </c>
      <c r="F98" s="96" t="s">
        <v>943</v>
      </c>
      <c r="G98" s="74" t="s">
        <v>208</v>
      </c>
    </row>
    <row r="99" spans="2:7" x14ac:dyDescent="0.55000000000000004">
      <c r="B99" s="100"/>
      <c r="C99" s="103"/>
      <c r="D99" s="107"/>
      <c r="E99" s="73" t="str">
        <f t="shared" si="1"/>
        <v>GIR719 - 제외기업</v>
      </c>
      <c r="F99" s="96" t="s">
        <v>944</v>
      </c>
      <c r="G99" s="74" t="s">
        <v>213</v>
      </c>
    </row>
    <row r="100" spans="2:7" x14ac:dyDescent="0.55000000000000004">
      <c r="B100" s="100"/>
      <c r="C100" s="103"/>
      <c r="D100" s="107"/>
      <c r="E100" s="73" t="str">
        <f t="shared" si="1"/>
        <v>GIR720 - 적격소득산입규칙을 적용하여야 하는 모기업</v>
      </c>
      <c r="F100" s="96" t="s">
        <v>945</v>
      </c>
      <c r="G100" s="74" t="s">
        <v>879</v>
      </c>
    </row>
    <row r="101" spans="2:7" x14ac:dyDescent="0.55000000000000004">
      <c r="B101" s="101"/>
      <c r="C101" s="104"/>
      <c r="D101" s="107"/>
      <c r="E101" s="75" t="str">
        <f t="shared" si="1"/>
        <v>GIR721 - 그룹 외 기업</v>
      </c>
      <c r="F101" s="97" t="s">
        <v>946</v>
      </c>
      <c r="G101" s="76" t="s">
        <v>881</v>
      </c>
    </row>
    <row r="102" spans="2:7" x14ac:dyDescent="0.55000000000000004">
      <c r="B102" s="99" t="s">
        <v>1163</v>
      </c>
      <c r="C102" s="102" t="s">
        <v>7</v>
      </c>
      <c r="D102" s="107" t="s">
        <v>947</v>
      </c>
      <c r="E102" s="77" t="str">
        <f t="shared" si="1"/>
        <v>GIR1101 - 구성기업</v>
      </c>
      <c r="F102" s="98" t="s">
        <v>948</v>
      </c>
      <c r="G102" s="78" t="s">
        <v>825</v>
      </c>
    </row>
    <row r="103" spans="2:7" x14ac:dyDescent="0.55000000000000004">
      <c r="B103" s="100"/>
      <c r="C103" s="103"/>
      <c r="D103" s="107"/>
      <c r="E103" s="73" t="str">
        <f t="shared" si="1"/>
        <v>GIR1102 - 소수지분하위그룹</v>
      </c>
      <c r="F103" s="96" t="s">
        <v>949</v>
      </c>
      <c r="G103" s="74" t="s">
        <v>950</v>
      </c>
    </row>
    <row r="104" spans="2:7" x14ac:dyDescent="0.55000000000000004">
      <c r="B104" s="100"/>
      <c r="C104" s="103"/>
      <c r="D104" s="107"/>
      <c r="E104" s="73" t="str">
        <f t="shared" si="1"/>
        <v>GIR1103 - (독립형) 소수지분구성기업</v>
      </c>
      <c r="F104" s="96" t="s">
        <v>951</v>
      </c>
      <c r="G104" s="74" t="s">
        <v>933</v>
      </c>
    </row>
    <row r="105" spans="2:7" x14ac:dyDescent="0.55000000000000004">
      <c r="B105" s="100"/>
      <c r="C105" s="103"/>
      <c r="D105" s="107"/>
      <c r="E105" s="73" t="str">
        <f t="shared" si="1"/>
        <v>GIR1104 - 투자기업</v>
      </c>
      <c r="F105" s="96" t="s">
        <v>952</v>
      </c>
      <c r="G105" s="74" t="s">
        <v>953</v>
      </c>
    </row>
    <row r="106" spans="2:7" x14ac:dyDescent="0.55000000000000004">
      <c r="B106" s="100"/>
      <c r="C106" s="103"/>
      <c r="D106" s="107"/>
      <c r="E106" s="73" t="str">
        <f t="shared" si="1"/>
        <v>GIR1105 - 공동기업그룹</v>
      </c>
      <c r="F106" s="96" t="s">
        <v>954</v>
      </c>
      <c r="G106" s="74" t="s">
        <v>955</v>
      </c>
    </row>
    <row r="107" spans="2:7" x14ac:dyDescent="0.55000000000000004">
      <c r="B107" s="101"/>
      <c r="C107" s="104"/>
      <c r="D107" s="107"/>
      <c r="E107" s="75" t="str">
        <f t="shared" si="1"/>
        <v>GIR1106 - 무국적 구성기업</v>
      </c>
      <c r="F107" s="97" t="s">
        <v>956</v>
      </c>
      <c r="G107" s="76" t="s">
        <v>957</v>
      </c>
    </row>
    <row r="108" spans="2:7" x14ac:dyDescent="0.55000000000000004">
      <c r="B108" s="99" t="s">
        <v>1164</v>
      </c>
      <c r="C108" s="108" t="s">
        <v>1165</v>
      </c>
      <c r="D108" s="107" t="s">
        <v>958</v>
      </c>
      <c r="E108" s="77" t="str">
        <f t="shared" si="1"/>
        <v>GIR1201 - 최소적용제외 특례</v>
      </c>
      <c r="F108" s="98" t="s">
        <v>959</v>
      </c>
      <c r="G108" s="78" t="s">
        <v>960</v>
      </c>
    </row>
    <row r="109" spans="2:7" x14ac:dyDescent="0.55000000000000004">
      <c r="B109" s="100"/>
      <c r="C109" s="109"/>
      <c r="D109" s="107"/>
      <c r="E109" s="73" t="str">
        <f t="shared" si="1"/>
        <v>GIR1202 - 적격소재국추가세 적용면제</v>
      </c>
      <c r="F109" s="96" t="s">
        <v>961</v>
      </c>
      <c r="G109" s="74" t="s">
        <v>962</v>
      </c>
    </row>
    <row r="110" spans="2:7" x14ac:dyDescent="0.55000000000000004">
      <c r="B110" s="100"/>
      <c r="C110" s="109"/>
      <c r="D110" s="107"/>
      <c r="E110" s="73" t="str">
        <f t="shared" si="1"/>
        <v>GIR1203 - 전환기 적용면제 – 소액 요건</v>
      </c>
      <c r="F110" s="96" t="s">
        <v>963</v>
      </c>
      <c r="G110" s="74" t="s">
        <v>964</v>
      </c>
    </row>
    <row r="111" spans="2:7" x14ac:dyDescent="0.55000000000000004">
      <c r="B111" s="100"/>
      <c r="C111" s="109"/>
      <c r="D111" s="107"/>
      <c r="E111" s="73" t="str">
        <f t="shared" ref="E111:E174" si="2">_xlfn.CONCAT(F111," - ",G111)</f>
        <v>GIR1204 - 전환기 적용면제 – 간이 실효세율 요건</v>
      </c>
      <c r="F111" s="96" t="s">
        <v>965</v>
      </c>
      <c r="G111" s="74" t="s">
        <v>966</v>
      </c>
    </row>
    <row r="112" spans="2:7" x14ac:dyDescent="0.55000000000000004">
      <c r="B112" s="100"/>
      <c r="C112" s="109"/>
      <c r="D112" s="107"/>
      <c r="E112" s="73" t="str">
        <f t="shared" si="2"/>
        <v>GIR1205 - 전환기 적용면제 – 초과이익 요건</v>
      </c>
      <c r="F112" s="96" t="s">
        <v>967</v>
      </c>
      <c r="G112" s="74" t="s">
        <v>968</v>
      </c>
    </row>
    <row r="113" spans="2:7" x14ac:dyDescent="0.55000000000000004">
      <c r="B113" s="100"/>
      <c r="C113" s="109"/>
      <c r="D113" s="107"/>
      <c r="E113" s="73" t="str">
        <f t="shared" si="2"/>
        <v>GIR1206 - 소득산입보완규칙 적용면제</v>
      </c>
      <c r="F113" s="96" t="s">
        <v>969</v>
      </c>
      <c r="G113" s="74" t="s">
        <v>970</v>
      </c>
    </row>
    <row r="114" spans="2:7" x14ac:dyDescent="0.55000000000000004">
      <c r="B114" s="100"/>
      <c r="C114" s="109"/>
      <c r="D114" s="107"/>
      <c r="E114" s="73" t="str">
        <f t="shared" si="2"/>
        <v>GIR1207 - 일반적 적용면제 – 소액 요건</v>
      </c>
      <c r="F114" s="96" t="s">
        <v>971</v>
      </c>
      <c r="G114" s="74" t="s">
        <v>972</v>
      </c>
    </row>
    <row r="115" spans="2:7" x14ac:dyDescent="0.55000000000000004">
      <c r="B115" s="100"/>
      <c r="C115" s="109"/>
      <c r="D115" s="107"/>
      <c r="E115" s="73" t="str">
        <f t="shared" si="2"/>
        <v>GIR1208 - 일반적 적용면제 – 간이 실효세율 요건</v>
      </c>
      <c r="F115" s="96" t="s">
        <v>973</v>
      </c>
      <c r="G115" s="74" t="s">
        <v>974</v>
      </c>
    </row>
    <row r="116" spans="2:7" x14ac:dyDescent="0.55000000000000004">
      <c r="B116" s="101"/>
      <c r="C116" s="110"/>
      <c r="D116" s="107"/>
      <c r="E116" s="75" t="str">
        <f t="shared" si="2"/>
        <v>GIR1209 - 일반적 적용면제 – 초과이익 요건</v>
      </c>
      <c r="F116" s="97" t="s">
        <v>975</v>
      </c>
      <c r="G116" s="76" t="s">
        <v>976</v>
      </c>
    </row>
    <row r="117" spans="2:7" x14ac:dyDescent="0.55000000000000004">
      <c r="B117" s="99" t="s">
        <v>1166</v>
      </c>
      <c r="C117" s="102" t="s">
        <v>1167</v>
      </c>
      <c r="D117" s="107" t="s">
        <v>977</v>
      </c>
      <c r="E117" s="77" t="str">
        <f t="shared" si="2"/>
        <v>GIR1301 - 2.5% 미만</v>
      </c>
      <c r="F117" s="98" t="s">
        <v>978</v>
      </c>
      <c r="G117" s="78" t="s">
        <v>979</v>
      </c>
    </row>
    <row r="118" spans="2:7" x14ac:dyDescent="0.55000000000000004">
      <c r="B118" s="100"/>
      <c r="C118" s="103"/>
      <c r="D118" s="107"/>
      <c r="E118" s="73" t="str">
        <f t="shared" si="2"/>
        <v>GIR1302 - 2.5% 이상 5% 미만</v>
      </c>
      <c r="F118" s="96" t="s">
        <v>980</v>
      </c>
      <c r="G118" s="74" t="s">
        <v>981</v>
      </c>
    </row>
    <row r="119" spans="2:7" x14ac:dyDescent="0.55000000000000004">
      <c r="B119" s="100"/>
      <c r="C119" s="103"/>
      <c r="D119" s="107"/>
      <c r="E119" s="73" t="str">
        <f t="shared" si="2"/>
        <v>GIR1303 - 5% 이상 7.5% 미만</v>
      </c>
      <c r="F119" s="96" t="s">
        <v>982</v>
      </c>
      <c r="G119" s="74" t="s">
        <v>983</v>
      </c>
    </row>
    <row r="120" spans="2:7" x14ac:dyDescent="0.55000000000000004">
      <c r="B120" s="100"/>
      <c r="C120" s="103"/>
      <c r="D120" s="107"/>
      <c r="E120" s="73" t="str">
        <f t="shared" si="2"/>
        <v>GIR1304 - 7.5% 이상 10% 미만</v>
      </c>
      <c r="F120" s="96" t="s">
        <v>984</v>
      </c>
      <c r="G120" s="74" t="s">
        <v>985</v>
      </c>
    </row>
    <row r="121" spans="2:7" x14ac:dyDescent="0.55000000000000004">
      <c r="B121" s="100"/>
      <c r="C121" s="103"/>
      <c r="D121" s="107"/>
      <c r="E121" s="73" t="str">
        <f t="shared" si="2"/>
        <v>GIR1305 - 10% 이상 12.5% 미만</v>
      </c>
      <c r="F121" s="96" t="s">
        <v>986</v>
      </c>
      <c r="G121" s="74" t="s">
        <v>987</v>
      </c>
    </row>
    <row r="122" spans="2:7" x14ac:dyDescent="0.55000000000000004">
      <c r="B122" s="100"/>
      <c r="C122" s="103"/>
      <c r="D122" s="107"/>
      <c r="E122" s="73" t="str">
        <f t="shared" si="2"/>
        <v>GIR1306 - 12.5% 이상 15% 미만</v>
      </c>
      <c r="F122" s="96" t="s">
        <v>988</v>
      </c>
      <c r="G122" s="74" t="s">
        <v>989</v>
      </c>
    </row>
    <row r="123" spans="2:7" x14ac:dyDescent="0.55000000000000004">
      <c r="B123" s="100"/>
      <c r="C123" s="103"/>
      <c r="D123" s="107"/>
      <c r="E123" s="73" t="str">
        <f t="shared" si="2"/>
        <v>GIR1307 - 15% 이상 17.5% 미만</v>
      </c>
      <c r="F123" s="96" t="s">
        <v>990</v>
      </c>
      <c r="G123" s="74" t="s">
        <v>991</v>
      </c>
    </row>
    <row r="124" spans="2:7" x14ac:dyDescent="0.55000000000000004">
      <c r="B124" s="100"/>
      <c r="C124" s="103"/>
      <c r="D124" s="107"/>
      <c r="E124" s="73" t="str">
        <f t="shared" si="2"/>
        <v>GIR1308 - 17.5% 이상 20% 미만</v>
      </c>
      <c r="F124" s="96" t="s">
        <v>992</v>
      </c>
      <c r="G124" s="74" t="s">
        <v>993</v>
      </c>
    </row>
    <row r="125" spans="2:7" x14ac:dyDescent="0.55000000000000004">
      <c r="B125" s="100"/>
      <c r="C125" s="103"/>
      <c r="D125" s="107"/>
      <c r="E125" s="73" t="str">
        <f t="shared" si="2"/>
        <v>GIR1309 - 20% 이상 22.5% 미만</v>
      </c>
      <c r="F125" s="96" t="s">
        <v>994</v>
      </c>
      <c r="G125" s="74" t="s">
        <v>995</v>
      </c>
    </row>
    <row r="126" spans="2:7" x14ac:dyDescent="0.55000000000000004">
      <c r="B126" s="100"/>
      <c r="C126" s="103"/>
      <c r="D126" s="107"/>
      <c r="E126" s="73" t="str">
        <f t="shared" si="2"/>
        <v>GIR1310 - 22.5% 이상 25% 미만</v>
      </c>
      <c r="F126" s="96" t="s">
        <v>996</v>
      </c>
      <c r="G126" s="74" t="s">
        <v>997</v>
      </c>
    </row>
    <row r="127" spans="2:7" x14ac:dyDescent="0.55000000000000004">
      <c r="B127" s="100"/>
      <c r="C127" s="103"/>
      <c r="D127" s="107"/>
      <c r="E127" s="73" t="str">
        <f t="shared" si="2"/>
        <v>GIR1311 - 25% 이상 27.5% 미만</v>
      </c>
      <c r="F127" s="96" t="s">
        <v>998</v>
      </c>
      <c r="G127" s="74" t="s">
        <v>999</v>
      </c>
    </row>
    <row r="128" spans="2:7" x14ac:dyDescent="0.55000000000000004">
      <c r="B128" s="100"/>
      <c r="C128" s="103"/>
      <c r="D128" s="107"/>
      <c r="E128" s="73" t="str">
        <f t="shared" si="2"/>
        <v>GIR1312 - 27.5% 이상 30% 미만</v>
      </c>
      <c r="F128" s="96" t="s">
        <v>1000</v>
      </c>
      <c r="G128" s="74" t="s">
        <v>1001</v>
      </c>
    </row>
    <row r="129" spans="2:7" x14ac:dyDescent="0.55000000000000004">
      <c r="B129" s="100"/>
      <c r="C129" s="103"/>
      <c r="D129" s="107"/>
      <c r="E129" s="73" t="str">
        <f t="shared" si="2"/>
        <v>GIR1313 - 30% 이상</v>
      </c>
      <c r="F129" s="96" t="s">
        <v>1002</v>
      </c>
      <c r="G129" s="74" t="s">
        <v>1003</v>
      </c>
    </row>
    <row r="130" spans="2:7" x14ac:dyDescent="0.55000000000000004">
      <c r="B130" s="101"/>
      <c r="C130" s="104"/>
      <c r="D130" s="107"/>
      <c r="E130" s="75" t="str">
        <f t="shared" si="2"/>
        <v>GIR1314 - 3.2섹션 작성되지 않음</v>
      </c>
      <c r="F130" s="97" t="s">
        <v>1004</v>
      </c>
      <c r="G130" s="76" t="s">
        <v>1005</v>
      </c>
    </row>
    <row r="131" spans="2:7" x14ac:dyDescent="0.55000000000000004">
      <c r="B131" s="99" t="s">
        <v>1168</v>
      </c>
      <c r="C131" s="108" t="s">
        <v>1169</v>
      </c>
      <c r="D131" s="107" t="s">
        <v>1006</v>
      </c>
      <c r="E131" s="77" t="str">
        <f t="shared" si="2"/>
        <v>GIR1401 - 추가세액 없음</v>
      </c>
      <c r="F131" s="98" t="s">
        <v>1007</v>
      </c>
      <c r="G131" s="78" t="s">
        <v>1008</v>
      </c>
    </row>
    <row r="132" spans="2:7" x14ac:dyDescent="0.55000000000000004">
      <c r="B132" s="100"/>
      <c r="C132" s="109"/>
      <c r="D132" s="107"/>
      <c r="E132" s="73" t="str">
        <f t="shared" si="2"/>
        <v>GIR1402 - 1백만 유로 미만</v>
      </c>
      <c r="F132" s="96" t="s">
        <v>1009</v>
      </c>
      <c r="G132" s="74" t="s">
        <v>1010</v>
      </c>
    </row>
    <row r="133" spans="2:7" x14ac:dyDescent="0.55000000000000004">
      <c r="B133" s="100"/>
      <c r="C133" s="109"/>
      <c r="D133" s="107"/>
      <c r="E133" s="73" t="str">
        <f t="shared" si="2"/>
        <v>GIR1403 - 1백만 유로 이상 5백만 유로 미만</v>
      </c>
      <c r="F133" s="96" t="s">
        <v>1011</v>
      </c>
      <c r="G133" s="74" t="s">
        <v>1012</v>
      </c>
    </row>
    <row r="134" spans="2:7" x14ac:dyDescent="0.55000000000000004">
      <c r="B134" s="100"/>
      <c r="C134" s="109"/>
      <c r="D134" s="107"/>
      <c r="E134" s="73" t="str">
        <f t="shared" si="2"/>
        <v>GIR1404 - 5백만 유로 이상 25백만 유로 미만</v>
      </c>
      <c r="F134" s="96" t="s">
        <v>1013</v>
      </c>
      <c r="G134" s="74" t="s">
        <v>1014</v>
      </c>
    </row>
    <row r="135" spans="2:7" x14ac:dyDescent="0.55000000000000004">
      <c r="B135" s="100"/>
      <c r="C135" s="109"/>
      <c r="D135" s="107"/>
      <c r="E135" s="73" t="str">
        <f t="shared" si="2"/>
        <v>GIR1405 - 25백만 유로 이상 50백만 유로 미만</v>
      </c>
      <c r="F135" s="96" t="s">
        <v>1015</v>
      </c>
      <c r="G135" s="74" t="s">
        <v>1016</v>
      </c>
    </row>
    <row r="136" spans="2:7" x14ac:dyDescent="0.55000000000000004">
      <c r="B136" s="100"/>
      <c r="C136" s="109"/>
      <c r="D136" s="107"/>
      <c r="E136" s="73" t="str">
        <f t="shared" si="2"/>
        <v>GIR1406 - 50백만 유로 이상 75백만 유로 미만</v>
      </c>
      <c r="F136" s="96" t="s">
        <v>1017</v>
      </c>
      <c r="G136" s="74" t="s">
        <v>1018</v>
      </c>
    </row>
    <row r="137" spans="2:7" x14ac:dyDescent="0.55000000000000004">
      <c r="B137" s="100"/>
      <c r="C137" s="109"/>
      <c r="D137" s="107"/>
      <c r="E137" s="73" t="str">
        <f t="shared" si="2"/>
        <v>GIR1407 - 75백만 유로 이상 100백만 유로 미만</v>
      </c>
      <c r="F137" s="96" t="s">
        <v>1019</v>
      </c>
      <c r="G137" s="74" t="s">
        <v>1020</v>
      </c>
    </row>
    <row r="138" spans="2:7" x14ac:dyDescent="0.55000000000000004">
      <c r="B138" s="100"/>
      <c r="C138" s="109"/>
      <c r="D138" s="107"/>
      <c r="E138" s="73" t="str">
        <f t="shared" si="2"/>
        <v>GIR1408 - 100백만 유로 이상 250백만 유로 미만</v>
      </c>
      <c r="F138" s="96" t="s">
        <v>1021</v>
      </c>
      <c r="G138" s="74" t="s">
        <v>1022</v>
      </c>
    </row>
    <row r="139" spans="2:7" x14ac:dyDescent="0.55000000000000004">
      <c r="B139" s="101"/>
      <c r="C139" s="110"/>
      <c r="D139" s="107"/>
      <c r="E139" s="75" t="str">
        <f t="shared" si="2"/>
        <v>GIR1409 - 250백만 유로 이상</v>
      </c>
      <c r="F139" s="97" t="s">
        <v>1023</v>
      </c>
      <c r="G139" s="76" t="s">
        <v>1024</v>
      </c>
    </row>
    <row r="140" spans="2:7" x14ac:dyDescent="0.55000000000000004">
      <c r="B140" s="99" t="s">
        <v>1170</v>
      </c>
      <c r="C140" s="102" t="s">
        <v>1171</v>
      </c>
      <c r="D140" s="107" t="s">
        <v>1025</v>
      </c>
      <c r="E140" s="77" t="str">
        <f t="shared" si="2"/>
        <v>GIR1501 - 추가세액 없음</v>
      </c>
      <c r="F140" s="98" t="s">
        <v>1026</v>
      </c>
      <c r="G140" s="78" t="s">
        <v>1008</v>
      </c>
    </row>
    <row r="141" spans="2:7" x14ac:dyDescent="0.55000000000000004">
      <c r="B141" s="100"/>
      <c r="C141" s="103"/>
      <c r="D141" s="107"/>
      <c r="E141" s="73" t="str">
        <f t="shared" si="2"/>
        <v>GIR1502 - 1백만 유로 미만</v>
      </c>
      <c r="F141" s="96" t="s">
        <v>1027</v>
      </c>
      <c r="G141" s="74" t="s">
        <v>1010</v>
      </c>
    </row>
    <row r="142" spans="2:7" x14ac:dyDescent="0.55000000000000004">
      <c r="B142" s="100"/>
      <c r="C142" s="103"/>
      <c r="D142" s="107"/>
      <c r="E142" s="73" t="str">
        <f t="shared" si="2"/>
        <v>GIR1503 - 1백만 유로 이상 5백만 유로 미만</v>
      </c>
      <c r="F142" s="96" t="s">
        <v>1028</v>
      </c>
      <c r="G142" s="74" t="s">
        <v>1012</v>
      </c>
    </row>
    <row r="143" spans="2:7" x14ac:dyDescent="0.55000000000000004">
      <c r="B143" s="100"/>
      <c r="C143" s="103"/>
      <c r="D143" s="107"/>
      <c r="E143" s="73" t="str">
        <f t="shared" si="2"/>
        <v>GIR1504 - 5백만 유로 이상 25백만 유로 미만</v>
      </c>
      <c r="F143" s="96" t="s">
        <v>1029</v>
      </c>
      <c r="G143" s="74" t="s">
        <v>1014</v>
      </c>
    </row>
    <row r="144" spans="2:7" x14ac:dyDescent="0.55000000000000004">
      <c r="B144" s="100"/>
      <c r="C144" s="103"/>
      <c r="D144" s="107"/>
      <c r="E144" s="73" t="str">
        <f t="shared" si="2"/>
        <v>GIR1505 - 25백만 유로 이상 50백만 유로 미만</v>
      </c>
      <c r="F144" s="96" t="s">
        <v>1030</v>
      </c>
      <c r="G144" s="74" t="s">
        <v>1016</v>
      </c>
    </row>
    <row r="145" spans="2:7" x14ac:dyDescent="0.55000000000000004">
      <c r="B145" s="100"/>
      <c r="C145" s="103"/>
      <c r="D145" s="107"/>
      <c r="E145" s="73" t="str">
        <f t="shared" si="2"/>
        <v>GIR1506 - 50백만 유로 이상 75백만 유로 미만</v>
      </c>
      <c r="F145" s="96" t="s">
        <v>1031</v>
      </c>
      <c r="G145" s="74" t="s">
        <v>1018</v>
      </c>
    </row>
    <row r="146" spans="2:7" x14ac:dyDescent="0.55000000000000004">
      <c r="B146" s="100"/>
      <c r="C146" s="103"/>
      <c r="D146" s="107"/>
      <c r="E146" s="73" t="str">
        <f t="shared" si="2"/>
        <v>GIR1507 - 75백만 유로 이상 100백만 유로 미만</v>
      </c>
      <c r="F146" s="96" t="s">
        <v>1032</v>
      </c>
      <c r="G146" s="74" t="s">
        <v>1020</v>
      </c>
    </row>
    <row r="147" spans="2:7" x14ac:dyDescent="0.55000000000000004">
      <c r="B147" s="100"/>
      <c r="C147" s="103"/>
      <c r="D147" s="107"/>
      <c r="E147" s="73" t="str">
        <f t="shared" si="2"/>
        <v>GIR1508 - 100백만 유로 이상 250백만 유로 미만</v>
      </c>
      <c r="F147" s="96" t="s">
        <v>1033</v>
      </c>
      <c r="G147" s="74" t="s">
        <v>1022</v>
      </c>
    </row>
    <row r="148" spans="2:7" x14ac:dyDescent="0.55000000000000004">
      <c r="B148" s="101"/>
      <c r="C148" s="104"/>
      <c r="D148" s="107"/>
      <c r="E148" s="75" t="str">
        <f t="shared" si="2"/>
        <v>GIR1509 - 250백만 유로 이상</v>
      </c>
      <c r="F148" s="97" t="s">
        <v>1034</v>
      </c>
      <c r="G148" s="76" t="s">
        <v>1024</v>
      </c>
    </row>
    <row r="149" spans="2:7" x14ac:dyDescent="0.55000000000000004">
      <c r="B149" s="99" t="s">
        <v>1172</v>
      </c>
      <c r="C149" s="102" t="s">
        <v>7</v>
      </c>
      <c r="D149" s="107" t="s">
        <v>1035</v>
      </c>
      <c r="E149" s="77" t="str">
        <f t="shared" si="2"/>
        <v>GIR1601 - 구성기업</v>
      </c>
      <c r="F149" s="98" t="s">
        <v>1036</v>
      </c>
      <c r="G149" s="78" t="s">
        <v>825</v>
      </c>
    </row>
    <row r="150" spans="2:7" x14ac:dyDescent="0.55000000000000004">
      <c r="B150" s="100"/>
      <c r="C150" s="103"/>
      <c r="D150" s="107"/>
      <c r="E150" s="73" t="str">
        <f t="shared" si="2"/>
        <v>GIR1602 - 소수지분하위그룹</v>
      </c>
      <c r="F150" s="96" t="s">
        <v>1037</v>
      </c>
      <c r="G150" s="74" t="s">
        <v>950</v>
      </c>
    </row>
    <row r="151" spans="2:7" x14ac:dyDescent="0.55000000000000004">
      <c r="B151" s="100"/>
      <c r="C151" s="103"/>
      <c r="D151" s="107"/>
      <c r="E151" s="73" t="str">
        <f t="shared" si="2"/>
        <v>GIR1603 - (독립형) 소수지분구성기업</v>
      </c>
      <c r="F151" s="96" t="s">
        <v>1038</v>
      </c>
      <c r="G151" s="74" t="s">
        <v>933</v>
      </c>
    </row>
    <row r="152" spans="2:7" x14ac:dyDescent="0.55000000000000004">
      <c r="B152" s="100"/>
      <c r="C152" s="103"/>
      <c r="D152" s="107"/>
      <c r="E152" s="73" t="str">
        <f t="shared" si="2"/>
        <v>GIR1604 - 투자구성기업</v>
      </c>
      <c r="F152" s="96" t="s">
        <v>1039</v>
      </c>
      <c r="G152" s="74" t="s">
        <v>866</v>
      </c>
    </row>
    <row r="153" spans="2:7" x14ac:dyDescent="0.55000000000000004">
      <c r="B153" s="100"/>
      <c r="C153" s="103"/>
      <c r="D153" s="107"/>
      <c r="E153" s="73" t="str">
        <f t="shared" si="2"/>
        <v>GIR1605 - 공동기업그룹</v>
      </c>
      <c r="F153" s="96" t="s">
        <v>1040</v>
      </c>
      <c r="G153" s="74" t="s">
        <v>955</v>
      </c>
    </row>
    <row r="154" spans="2:7" x14ac:dyDescent="0.55000000000000004">
      <c r="B154" s="100"/>
      <c r="C154" s="103"/>
      <c r="D154" s="107"/>
      <c r="E154" s="73" t="str">
        <f t="shared" si="2"/>
        <v>GIR1606 - 무국적 구성기업</v>
      </c>
      <c r="F154" s="96" t="s">
        <v>1041</v>
      </c>
      <c r="G154" s="74" t="s">
        <v>957</v>
      </c>
    </row>
    <row r="155" spans="2:7" x14ac:dyDescent="0.55000000000000004">
      <c r="B155" s="100"/>
      <c r="C155" s="103"/>
      <c r="D155" s="107"/>
      <c r="E155" s="73" t="str">
        <f t="shared" si="2"/>
        <v>GIR1607 - 전환기 적용면제–구성기업</v>
      </c>
      <c r="F155" s="96" t="s">
        <v>1042</v>
      </c>
      <c r="G155" s="74" t="s">
        <v>1043</v>
      </c>
    </row>
    <row r="156" spans="2:7" x14ac:dyDescent="0.55000000000000004">
      <c r="B156" s="100"/>
      <c r="C156" s="103"/>
      <c r="D156" s="107"/>
      <c r="E156" s="73" t="str">
        <f t="shared" si="2"/>
        <v>GIR1608 - 전환기 적용면제–공동기업그룹(특정하여 명시할 것)</v>
      </c>
      <c r="F156" s="96" t="s">
        <v>1044</v>
      </c>
      <c r="G156" s="74" t="s">
        <v>1045</v>
      </c>
    </row>
    <row r="157" spans="2:7" x14ac:dyDescent="0.55000000000000004">
      <c r="B157" s="101"/>
      <c r="C157" s="104"/>
      <c r="D157" s="107"/>
      <c r="E157" s="75" t="str">
        <f t="shared" si="2"/>
        <v>GIR1609 - 소득산입보완규칙 적용면제</v>
      </c>
      <c r="F157" s="97" t="s">
        <v>1046</v>
      </c>
      <c r="G157" s="76" t="s">
        <v>970</v>
      </c>
    </row>
    <row r="158" spans="2:7" x14ac:dyDescent="0.55000000000000004">
      <c r="B158" s="99" t="s">
        <v>1173</v>
      </c>
      <c r="C158" s="102" t="s">
        <v>7</v>
      </c>
      <c r="D158" s="107" t="s">
        <v>1035</v>
      </c>
      <c r="E158" s="77" t="str">
        <f t="shared" si="2"/>
        <v>GIR1601 - 구성기업</v>
      </c>
      <c r="F158" s="98" t="s">
        <v>1036</v>
      </c>
      <c r="G158" s="78" t="s">
        <v>825</v>
      </c>
    </row>
    <row r="159" spans="2:7" x14ac:dyDescent="0.55000000000000004">
      <c r="B159" s="100"/>
      <c r="C159" s="103"/>
      <c r="D159" s="107"/>
      <c r="E159" s="73" t="str">
        <f t="shared" si="2"/>
        <v>GIR1602 - 소수지분하위그룹</v>
      </c>
      <c r="F159" s="96" t="s">
        <v>1037</v>
      </c>
      <c r="G159" s="74" t="s">
        <v>950</v>
      </c>
    </row>
    <row r="160" spans="2:7" x14ac:dyDescent="0.55000000000000004">
      <c r="B160" s="100"/>
      <c r="C160" s="103"/>
      <c r="D160" s="107"/>
      <c r="E160" s="73" t="str">
        <f t="shared" si="2"/>
        <v>GIR1603 - (독립형) 소수지분구성기업</v>
      </c>
      <c r="F160" s="96" t="s">
        <v>1038</v>
      </c>
      <c r="G160" s="74" t="s">
        <v>933</v>
      </c>
    </row>
    <row r="161" spans="2:7" x14ac:dyDescent="0.55000000000000004">
      <c r="B161" s="100"/>
      <c r="C161" s="103"/>
      <c r="D161" s="107"/>
      <c r="E161" s="73" t="str">
        <f t="shared" si="2"/>
        <v>GIR1604 - 투자구성기업</v>
      </c>
      <c r="F161" s="96" t="s">
        <v>1039</v>
      </c>
      <c r="G161" s="74" t="s">
        <v>866</v>
      </c>
    </row>
    <row r="162" spans="2:7" x14ac:dyDescent="0.55000000000000004">
      <c r="B162" s="100"/>
      <c r="C162" s="103"/>
      <c r="D162" s="107"/>
      <c r="E162" s="73" t="str">
        <f t="shared" si="2"/>
        <v>GIR1605 - 공동기업그룹</v>
      </c>
      <c r="F162" s="96" t="s">
        <v>1040</v>
      </c>
      <c r="G162" s="74" t="s">
        <v>955</v>
      </c>
    </row>
    <row r="163" spans="2:7" x14ac:dyDescent="0.55000000000000004">
      <c r="B163" s="100"/>
      <c r="C163" s="103"/>
      <c r="D163" s="107"/>
      <c r="E163" s="73" t="str">
        <f t="shared" si="2"/>
        <v>GIR1606 - 무국적 구성기업</v>
      </c>
      <c r="F163" s="96" t="s">
        <v>1041</v>
      </c>
      <c r="G163" s="74" t="s">
        <v>957</v>
      </c>
    </row>
    <row r="164" spans="2:7" x14ac:dyDescent="0.55000000000000004">
      <c r="B164" s="100"/>
      <c r="C164" s="103"/>
      <c r="D164" s="107"/>
      <c r="E164" s="73" t="str">
        <f t="shared" si="2"/>
        <v>GIR1607 - 전환기 적용면제–구성기업</v>
      </c>
      <c r="F164" s="96" t="s">
        <v>1042</v>
      </c>
      <c r="G164" s="74" t="s">
        <v>1043</v>
      </c>
    </row>
    <row r="165" spans="2:7" x14ac:dyDescent="0.55000000000000004">
      <c r="B165" s="100"/>
      <c r="C165" s="103"/>
      <c r="D165" s="107"/>
      <c r="E165" s="73" t="str">
        <f t="shared" si="2"/>
        <v>GIR1608 - 전환기 적용면제–공동기업그룹(특정하여 명시할 것)</v>
      </c>
      <c r="F165" s="96" t="s">
        <v>1044</v>
      </c>
      <c r="G165" s="74" t="s">
        <v>1045</v>
      </c>
    </row>
    <row r="166" spans="2:7" x14ac:dyDescent="0.55000000000000004">
      <c r="B166" s="101"/>
      <c r="C166" s="104"/>
      <c r="D166" s="107"/>
      <c r="E166" s="75" t="str">
        <f t="shared" si="2"/>
        <v>GIR1609 - 소득산입보완규칙 적용면제</v>
      </c>
      <c r="F166" s="97" t="s">
        <v>1046</v>
      </c>
      <c r="G166" s="76" t="s">
        <v>970</v>
      </c>
    </row>
    <row r="167" spans="2:7" x14ac:dyDescent="0.55000000000000004">
      <c r="B167" s="99" t="s">
        <v>127</v>
      </c>
      <c r="C167" s="102" t="s">
        <v>128</v>
      </c>
      <c r="D167" s="107" t="s">
        <v>1047</v>
      </c>
      <c r="E167" s="77" t="str">
        <f t="shared" si="2"/>
        <v>GIR2601 - 국조칙 별표 제10호(총자산처분이익의 조정)</v>
      </c>
      <c r="F167" s="98" t="s">
        <v>1048</v>
      </c>
      <c r="G167" s="78" t="s">
        <v>1049</v>
      </c>
    </row>
    <row r="168" spans="2:7" ht="45" x14ac:dyDescent="0.55000000000000004">
      <c r="B168" s="100"/>
      <c r="C168" s="103"/>
      <c r="D168" s="107"/>
      <c r="E168" s="73" t="str">
        <f t="shared" si="2"/>
        <v>GIR2602 - 국조법 제67조(조정대상조세의 계산) 제3항 이연법인세부채를 계상한 날부터 5년이 지난 날이 속하는 사업연도의 종료일까지 해당 이연법인세부채와 관련된 법인세를 납부하지 아니하는 경우</v>
      </c>
      <c r="F168" s="96" t="s">
        <v>1050</v>
      </c>
      <c r="G168" s="74" t="s">
        <v>1051</v>
      </c>
    </row>
    <row r="169" spans="2:7" ht="30" x14ac:dyDescent="0.55000000000000004">
      <c r="B169" s="100"/>
      <c r="C169" s="103"/>
      <c r="D169" s="107"/>
      <c r="E169" s="73" t="str">
        <f t="shared" si="2"/>
        <v>GIR2603 - 국조법 제68조(신고 후 조정 및 세율변경) 제1항 신고 후 감액 경정</v>
      </c>
      <c r="F169" s="96" t="s">
        <v>1052</v>
      </c>
      <c r="G169" s="74" t="s">
        <v>1053</v>
      </c>
    </row>
    <row r="170" spans="2:7" ht="30" x14ac:dyDescent="0.55000000000000004">
      <c r="B170" s="100"/>
      <c r="C170" s="103"/>
      <c r="D170" s="107"/>
      <c r="E170" s="73" t="str">
        <f t="shared" si="2"/>
        <v>GIR2604 - 국조법 제68조(신고 후 조정 및 세율변경) 제4항 당기법인세비용 계상 후 3년 이내 납부하지 아니하는 경우</v>
      </c>
      <c r="F170" s="96" t="s">
        <v>1054</v>
      </c>
      <c r="G170" s="74" t="s">
        <v>1055</v>
      </c>
    </row>
    <row r="171" spans="2:7" ht="60" x14ac:dyDescent="0.55000000000000004">
      <c r="B171" s="100"/>
      <c r="C171" s="103"/>
      <c r="D171" s="107"/>
      <c r="E171" s="73" t="str">
        <f t="shared" si="2"/>
        <v>GIR2605 - 국조법 제78조(적격분배과세제도에 대한 특례) 제2항 간주분배세액환입계정이 설정된 날이 속하는 사업연도 개시일부터 그 후 네 번째 사업연도 종료일까지 가산한 간주분배세액에 상응하는 금액이 실제로 과세되지 아니한 경우</v>
      </c>
      <c r="F171" s="96" t="s">
        <v>1056</v>
      </c>
      <c r="G171" s="74" t="s">
        <v>1057</v>
      </c>
    </row>
    <row r="172" spans="2:7" ht="45" x14ac:dyDescent="0.55000000000000004">
      <c r="B172" s="101"/>
      <c r="C172" s="104"/>
      <c r="D172" s="107"/>
      <c r="E172" s="75" t="str">
        <f t="shared" si="2"/>
        <v>GIR2606 - 국조칙 제83조(간주분배세액환입계정의 운용방법 등) 제2항 및 제3항 적격분배과세제도 특례 적용 구성기업의 이탈 등의 경우 간주분배세액환입계정잔액</v>
      </c>
      <c r="F172" s="97" t="s">
        <v>1058</v>
      </c>
      <c r="G172" s="76" t="s">
        <v>1059</v>
      </c>
    </row>
    <row r="173" spans="2:7" ht="45" x14ac:dyDescent="0.55000000000000004">
      <c r="B173" s="99" t="s">
        <v>139</v>
      </c>
      <c r="C173" s="102" t="s">
        <v>140</v>
      </c>
      <c r="D173" s="107" t="s">
        <v>1060</v>
      </c>
      <c r="E173" s="77" t="str">
        <f t="shared" si="2"/>
        <v>GIR1701 - 국조법 제66조(글로벌최저한세소득·결손의 계산) 제4항 및 제5항, 국조령 제107조(고정사업장의 회계상 순손익의 계산) 고정사업장에 대한 회계상 순손익 귀속 방법</v>
      </c>
      <c r="F173" s="98" t="s">
        <v>1061</v>
      </c>
      <c r="G173" s="78" t="s">
        <v>1062</v>
      </c>
    </row>
    <row r="174" spans="2:7" ht="45" x14ac:dyDescent="0.55000000000000004">
      <c r="B174" s="100"/>
      <c r="C174" s="103"/>
      <c r="D174" s="107"/>
      <c r="E174" s="73" t="str">
        <f t="shared" si="2"/>
        <v>GIR1702 - 국조법 제66조(글로벌최저한세소득·결손의 계산) 제6항, 국조령 제108조(투과기업의 회계상 순손익의 배분) 제3항 그룹 외 기업이 투과기업의 소유지분을 보유하는 경우 배분 제외</v>
      </c>
      <c r="F174" s="96" t="s">
        <v>1063</v>
      </c>
      <c r="G174" s="74" t="s">
        <v>1064</v>
      </c>
    </row>
    <row r="175" spans="2:7" ht="45" x14ac:dyDescent="0.55000000000000004">
      <c r="B175" s="100"/>
      <c r="C175" s="103"/>
      <c r="D175" s="107"/>
      <c r="E175" s="73" t="str">
        <f t="shared" ref="E175:E209" si="3">_xlfn.CONCAT(F175," - ",G175)</f>
        <v>GIR1703 - 국조법 제66조(글로벌최저한세소득·결손의 계산) 제6항, 국조령 제108조(투과기업의 회계상 순손익의 배분) 제1항 투과기업의 회계상 순손익을 사업이 수행되는 고정사업장에 배분</v>
      </c>
      <c r="F175" s="96" t="s">
        <v>1065</v>
      </c>
      <c r="G175" s="74" t="s">
        <v>1066</v>
      </c>
    </row>
    <row r="176" spans="2:7" ht="75" x14ac:dyDescent="0.55000000000000004">
      <c r="B176" s="101"/>
      <c r="C176" s="104"/>
      <c r="D176" s="107"/>
      <c r="E176" s="75" t="str">
        <f t="shared" si="3"/>
        <v>GIR1704 - 국조법 제66조(글로벌최저한세소득·결손의 계산) 제6항, 국조령 제108조(투과기업의 회계상 순손익의 배분) 제1항 제2호 및 제3호 투과기업이 투시과세기업으로서 최종모기업이 아닌 경우, 투과기업의 회계상 순손익을 적격지분보유자가 보유하는 소유지분에 따라 적격지분보유자에게 배분</v>
      </c>
      <c r="F176" s="97" t="s">
        <v>1067</v>
      </c>
      <c r="G176" s="76" t="s">
        <v>1068</v>
      </c>
    </row>
    <row r="177" spans="2:7" ht="30" x14ac:dyDescent="0.55000000000000004">
      <c r="B177" s="99" t="s">
        <v>148</v>
      </c>
      <c r="C177" s="102" t="s">
        <v>140</v>
      </c>
      <c r="D177" s="107" t="s">
        <v>1069</v>
      </c>
      <c r="E177" s="77" t="str">
        <f t="shared" si="3"/>
        <v>GIR1801 - 국조칙 별표 제17호 (정상가격 및 동일가격 원칙의 적용에 따른 조정)</v>
      </c>
      <c r="F177" s="98" t="s">
        <v>1070</v>
      </c>
      <c r="G177" s="78" t="s">
        <v>1071</v>
      </c>
    </row>
    <row r="178" spans="2:7" x14ac:dyDescent="0.55000000000000004">
      <c r="B178" s="101"/>
      <c r="C178" s="104"/>
      <c r="D178" s="107"/>
      <c r="E178" s="75" t="str">
        <f t="shared" si="3"/>
        <v>GIR1802 - 국조칙 별표 제9호 (그룹내부금융약정비용의 조정)</v>
      </c>
      <c r="F178" s="97" t="s">
        <v>1072</v>
      </c>
      <c r="G178" s="76" t="s">
        <v>1073</v>
      </c>
    </row>
    <row r="179" spans="2:7" ht="90" x14ac:dyDescent="0.55000000000000004">
      <c r="B179" s="99" t="s">
        <v>153</v>
      </c>
      <c r="C179" s="102" t="s">
        <v>154</v>
      </c>
      <c r="D179" s="107" t="s">
        <v>1074</v>
      </c>
      <c r="E179" s="77" t="str">
        <f t="shared" si="3"/>
        <v>GIR1901 - 국조법 제77조의2(배당공제제도 등에 대한 특례) 제2항 제1호, 국조령 제133조(투과기업인 최종모기업에 대한 특례) 제1항 제1호 가목 투과기업인 최종모기업의 해당 사업연도 종료일의 다음 날부터 12개월 이내에 종료하는 과세기간에 그 소유지분에 귀속되는 글로벌최저한세소득금액이 그 소유지분의 보유자에게 귀속된 금액으로 보면, 귀속소득금액 전액에 대해 최저한세율 이상의 명목세율로 과세되는 경우</v>
      </c>
      <c r="F179" s="98" t="s">
        <v>1075</v>
      </c>
      <c r="G179" s="78" t="s">
        <v>1076</v>
      </c>
    </row>
    <row r="180" spans="2:7" ht="135" x14ac:dyDescent="0.55000000000000004">
      <c r="B180" s="100"/>
      <c r="C180" s="103"/>
      <c r="D180" s="107"/>
      <c r="E180" s="73" t="str">
        <f t="shared" si="3"/>
        <v>GIR1902 - 국조법 제77조의2(배당공제제도 등에 대한 특례) 제2항 제1호, 국조령 제133조(투과기업인 최종모기업에 대한 특례) 제1항 제1호 나목 투과기업인 최종모기업의 해당 사업연도 종료일의 다음 날부터 12개월 이내에 종료하는 과세기간에 그 소유지분에 귀속되는 글로벌최저한세소득금액이 그 소유지분의 보유자에게 귀속된 금액으로 보면, 귀속소득금액에 대한 해당 투과기업의 조정대상조세 금액과 그 소유지분 보유자에게 과세되는 세액의 합계액이 해당 귀속소득금액 전액에 최저한세율을 곱하여 계산한 금액 이상이 될 것으로 합리적으로 예상되는 경우에 해당하는 경우</v>
      </c>
      <c r="F180" s="96" t="s">
        <v>1077</v>
      </c>
      <c r="G180" s="74" t="s">
        <v>1078</v>
      </c>
    </row>
    <row r="181" spans="2:7" ht="45" x14ac:dyDescent="0.55000000000000004">
      <c r="B181" s="100"/>
      <c r="C181" s="103"/>
      <c r="D181" s="107"/>
      <c r="E181" s="73" t="str">
        <f t="shared" si="3"/>
        <v>GIR1903 - 국조법 제77조의2(배당공제제도 등에 대한 특례) 제2항 제1호, 국조령 제133조(투과기업인 최종모기업에 대한 특례) 제1항 제2호 최저한세율 이상으로 과세되는 요건을 모두 갖춘 자연인</v>
      </c>
      <c r="F181" s="96" t="s">
        <v>1079</v>
      </c>
      <c r="G181" s="74" t="s">
        <v>1080</v>
      </c>
    </row>
    <row r="182" spans="2:7" ht="75" x14ac:dyDescent="0.55000000000000004">
      <c r="B182" s="100"/>
      <c r="C182" s="103"/>
      <c r="D182" s="107"/>
      <c r="E182" s="73" t="str">
        <f t="shared" si="3"/>
        <v>GIR1904 - 국조법 제77조의2(배당공제제도 등에 대한 특례) 제2항 제1호, 국조령 제133조(투과기업인 최종모기업에 대한 특례) 제1항 제3호 최저한세율 이상으로 과세되는 요건을 모두 갖춘 국조령 제102조제1항제1호의 정부기업, 같은 항 제2호의 국제기구, 같은 항 제3호의 비영리기구 또는 같은 항 제4호의 연금펀드</v>
      </c>
      <c r="F182" s="96" t="s">
        <v>1081</v>
      </c>
      <c r="G182" s="74" t="s">
        <v>1082</v>
      </c>
    </row>
    <row r="183" spans="2:7" ht="90" x14ac:dyDescent="0.55000000000000004">
      <c r="B183" s="100"/>
      <c r="C183" s="103"/>
      <c r="D183" s="107"/>
      <c r="E183" s="73" t="str">
        <f t="shared" si="3"/>
        <v>GIR1905 - 법 제77조의2(배당공제제도 등에 대한 특례) 제2항 제1호, 영 제132조(투과기업인 최종모기업에 대한 특례) 제1항 제1호 가목 1) 다국적기업그룹의 글로벌최저한세소득이 발생한 사업연도 종료일의 다음 날부터 12개월 이내에 종료하는 과세기간에 다음에 해당하는 배당수취인에게 분배되는 금액 전액에 대해 최저한세율 이상의 명목세율로 과세되는 경우</v>
      </c>
      <c r="F183" s="96" t="s">
        <v>1083</v>
      </c>
      <c r="G183" s="74" t="s">
        <v>1084</v>
      </c>
    </row>
    <row r="184" spans="2:7" ht="135" x14ac:dyDescent="0.55000000000000004">
      <c r="B184" s="100"/>
      <c r="C184" s="103"/>
      <c r="D184" s="107"/>
      <c r="E184" s="73" t="str">
        <f t="shared" si="3"/>
        <v>GIR1906 - 국조법 제77조의2(배당공제제도 등에 대한 특례) 제2항 제1호, 국조령 제132조(투과기업인 최종모기업에 대한 특례) 제1항 제1호 가목 2) 다국적기업그룹의 글로벌최저한세소득이 발생한 사업연도 종료일의 다음 날부터 12개월 이내에 종료하는 과세기간에 다음에 해당하는 배당수취인에게 분배되는 금액(이하, 귀속분배금액)의 원천이 되는 소득에 대한 최종모기업의 조정대상조세 금액과 해당 귀속분배금액에 대해 그 배당수취인에게 과세되는 세액의 합계액이 해당 귀속분배금액 전액에 최저한세율을 곱하여 계산되는 금액 이상이 될 것으로 합리적으로 예상되는 경우</v>
      </c>
      <c r="F184" s="96" t="s">
        <v>1085</v>
      </c>
      <c r="G184" s="74" t="s">
        <v>1086</v>
      </c>
    </row>
    <row r="185" spans="2:7" ht="75" x14ac:dyDescent="0.55000000000000004">
      <c r="B185" s="100"/>
      <c r="C185" s="103"/>
      <c r="D185" s="107"/>
      <c r="E185" s="73" t="str">
        <f t="shared" si="3"/>
        <v>GIR1907 - 국조법 제77조의2(배당공제제도 등에 대한 특례) 제2항 제1호, 국조령 제132조(투과기업인 최종모기업에 대한 특례) 제1항 제1호 가목 3) 배당수취인이 자연인이고 해당 귀속분배금액이 협동조합(협동조합으로서 제3자로부터 재화 또는 용역을 구매하여 조합원에 공급하는 협동조합으로 한정한다)으로부터 받는 이용고배당인 경우</v>
      </c>
      <c r="F185" s="96" t="s">
        <v>1087</v>
      </c>
      <c r="G185" s="74" t="s">
        <v>1088</v>
      </c>
    </row>
    <row r="186" spans="2:7" ht="90" x14ac:dyDescent="0.55000000000000004">
      <c r="B186" s="100"/>
      <c r="C186" s="103"/>
      <c r="D186" s="107"/>
      <c r="E186" s="73" t="str">
        <f t="shared" si="3"/>
        <v>GIR1908 - 국조법 제77조의2(배당공제제도 등에 대한 특례) 제2항 제1호 국조령 제132조(투과기업인 최종모기업에 대한 특례) 제1항 제1호 나목 최종모기업이 주주, 사원 또는 출자자에게 이익을 분배할 때 해당 최종모기업 소재지국의 세법에 따라 해당 최종모기업의 과세소득에서 공제되는 이 이익의 분배액으로서 요건을 모두 갖춘 자연인에게 분배되는 배당액을 의미합니다.</v>
      </c>
      <c r="F186" s="96" t="s">
        <v>1089</v>
      </c>
      <c r="G186" s="74" t="s">
        <v>1090</v>
      </c>
    </row>
    <row r="187" spans="2:7" ht="60" x14ac:dyDescent="0.55000000000000004">
      <c r="B187" s="100"/>
      <c r="C187" s="103"/>
      <c r="D187" s="107"/>
      <c r="E187" s="73" t="str">
        <f t="shared" si="3"/>
        <v>GIR1909 - 국조법 제77조의2(배당공제제도 등에 대한 특례) 제2항 제1호, 국조령 제132조(투과기업인 최종모기업에 대한 특례) 제1항 제1호 다목 배당수취인이 최종모기업의 소재지국에서 설립·운영되는 정부기업, 국제기구, 비영리기구 또는 연금펀드</v>
      </c>
      <c r="F187" s="96" t="s">
        <v>1091</v>
      </c>
      <c r="G187" s="74" t="s">
        <v>1092</v>
      </c>
    </row>
    <row r="188" spans="2:7" ht="120" x14ac:dyDescent="0.55000000000000004">
      <c r="B188" s="100"/>
      <c r="C188" s="103"/>
      <c r="D188" s="107"/>
      <c r="E188" s="73" t="str">
        <f t="shared" si="3"/>
        <v>GIR1910 - 국조령 제132조(투과기업인 최종모기업에 대한 특례) 제3항 배당공제제도를 적용 받는 구성기업의 대상조세 및 글로벌최저한세소득은 각각 아래의 ①×② 산출한 금액을 차감하여 계산한 금액 ① 해당 구성기업의 대상조세 ② 국조법 제77조의2제1항 및 국조령 제132조 제1항에 따라 차감되는 배당액을 해당 구성기업의 글로벌최저한세소득 금액에서 국조령 제104조제1항제1호에 따른 순조세비용 (미분배소득 또는 자본·유보 소득에 대한 세금을 제외한 금액)을 차감한 금액으로 나눈 비율</v>
      </c>
      <c r="F188" s="96" t="s">
        <v>1093</v>
      </c>
      <c r="G188" s="74" t="s">
        <v>1094</v>
      </c>
    </row>
    <row r="189" spans="2:7" ht="105" x14ac:dyDescent="0.55000000000000004">
      <c r="B189" s="101"/>
      <c r="C189" s="104"/>
      <c r="D189" s="107"/>
      <c r="E189" s="75" t="str">
        <f t="shared" si="3"/>
        <v>GIR1999 - 국조법 제77조의2(배당공제제도 등에 대한 특례) 제2항 2호 다국적기업그룹의 최종모기업이 투과기업인 경우 그 투과기업의 각 사업연도 글로벌최저한세소득·결손은 다음 금액을 차감하여 계산 (각 사업연도의 글로벌최저한세결손: 해당 투과기업의 각 소유지분에 귀속되는 글로벌최저한세결손 금액 중 그 소유지분을 보유한 자가 과세소득을 산정할 때 해당 글로벌최저한세결손 금액을 공제할 수 있는 경우 해당 금액)</v>
      </c>
      <c r="F189" s="97" t="s">
        <v>1095</v>
      </c>
      <c r="G189" s="76" t="s">
        <v>1096</v>
      </c>
    </row>
    <row r="190" spans="2:7" ht="45" x14ac:dyDescent="0.55000000000000004">
      <c r="B190" s="99" t="s">
        <v>161</v>
      </c>
      <c r="C190" s="102" t="s">
        <v>140</v>
      </c>
      <c r="D190" s="107" t="s">
        <v>1097</v>
      </c>
      <c r="E190" s="77" t="str">
        <f t="shared" si="3"/>
        <v>GIR2301 - 국조령 제111조(구성기업 간 대상조세의 배분) 제1항 제1호 본점인 구성기업의 회계상 계상된 대상조세로서 고정사업장의 글로벌최저한세소득·결손에 귀속되는 것: 해당 고정사업장에 배분</v>
      </c>
      <c r="F190" s="98" t="s">
        <v>1098</v>
      </c>
      <c r="G190" s="78" t="s">
        <v>1099</v>
      </c>
    </row>
    <row r="191" spans="2:7" ht="60" x14ac:dyDescent="0.55000000000000004">
      <c r="B191" s="100"/>
      <c r="C191" s="103"/>
      <c r="D191" s="107"/>
      <c r="E191" s="73" t="str">
        <f t="shared" si="3"/>
        <v>GIR2302 - 국조령 제111조(구성기업 간 대상조세의 배분) 제1항 제2호 투과기업의 회계상 계상된 대상조세 또는 피지배외국법인인 투과기업에 배분된 대상조세로서 적격지분보유자에게 귀속되는 글로벌최저한세소득·결손에 대응되는 것: 해당 적격지분보유자에게 배분</v>
      </c>
      <c r="F191" s="96" t="s">
        <v>1100</v>
      </c>
      <c r="G191" s="74" t="s">
        <v>1101</v>
      </c>
    </row>
    <row r="192" spans="2:7" ht="60" x14ac:dyDescent="0.55000000000000004">
      <c r="B192" s="100"/>
      <c r="C192" s="103"/>
      <c r="D192" s="107"/>
      <c r="E192" s="73" t="str">
        <f t="shared" si="3"/>
        <v>GIR2303 - 국조령 제111조(구성기업 간 대상조세의 배분) 제1항 제5호 가목 피지배외국법인과세제도의 적용에 따라 적격지분보유자가 납부하는 대상조세: 해당 대상조세에 대응되는 소득을 얻은 피지배외국법인에 배분</v>
      </c>
      <c r="F192" s="96" t="s">
        <v>1102</v>
      </c>
      <c r="G192" s="74" t="s">
        <v>1103</v>
      </c>
    </row>
    <row r="193" spans="2:7" ht="45" x14ac:dyDescent="0.55000000000000004">
      <c r="B193" s="100"/>
      <c r="C193" s="103"/>
      <c r="D193" s="107"/>
      <c r="E193" s="73" t="str">
        <f t="shared" si="3"/>
        <v>GIR2304 - 국조령 제111조(구성기업 간 대상조세의 배분) 제1항 제3호 혼성기업이 얻은 소득에 대한 대상조세로서 그 주주구성기업의 회계상 계상된 것: 해당 혼성기업에 배분</v>
      </c>
      <c r="F193" s="96" t="s">
        <v>1104</v>
      </c>
      <c r="G193" s="74" t="s">
        <v>1105</v>
      </c>
    </row>
    <row r="194" spans="2:7" ht="75" x14ac:dyDescent="0.55000000000000004">
      <c r="B194" s="100"/>
      <c r="C194" s="103"/>
      <c r="D194" s="107"/>
      <c r="E194" s="73" t="str">
        <f t="shared" si="3"/>
        <v>GIR2305 - 국조령 제111조(구성기업 간 대상조세의 배분) 제1항 제4호 사업연도 중에 구성기업으로부터 받는 배당(주주구성기업 소재지국 세법상 배당으로 간주되는 것을 포함)에 대한 대상조세로서 해당 구성기업의 소유지분을 직접 보유한 주주구성기업의 회계상 계상된 것: 해당 배당을 지급하는 구성기업에 배분</v>
      </c>
      <c r="F194" s="96" t="s">
        <v>1106</v>
      </c>
      <c r="G194" s="74" t="s">
        <v>1107</v>
      </c>
    </row>
    <row r="195" spans="2:7" ht="60" x14ac:dyDescent="0.55000000000000004">
      <c r="B195" s="100"/>
      <c r="C195" s="103"/>
      <c r="D195" s="107"/>
      <c r="E195" s="73" t="str">
        <f t="shared" si="3"/>
        <v>GIR2306 - 국조칙 제70조(수동소득 대상조세 배분 등) 제1항 A값 A: 수동소득에 대해 주주구성기업이 납부하는 대상조세를 해당 구성기업의 대상조세에 산입하지 않고 계산하는 해당 구성기업 소재국의 국조법 제70조 제2항에 따른 추가세액비율</v>
      </c>
      <c r="F195" s="96" t="s">
        <v>1108</v>
      </c>
      <c r="G195" s="74" t="s">
        <v>1109</v>
      </c>
    </row>
    <row r="196" spans="2:7" ht="45" x14ac:dyDescent="0.55000000000000004">
      <c r="B196" s="100"/>
      <c r="C196" s="103"/>
      <c r="D196" s="107"/>
      <c r="E196" s="73" t="str">
        <f t="shared" si="3"/>
        <v>GIR2307 - 국조칙 제70조(수동소득 대상조세 배분 등) 제1항 B값 B: 해당 구성기업의 수동소득 중 주주구성기업의 과세대상 소득에 포함되는 금액</v>
      </c>
      <c r="F196" s="96" t="s">
        <v>1110</v>
      </c>
      <c r="G196" s="74" t="s">
        <v>1111</v>
      </c>
    </row>
    <row r="197" spans="2:7" ht="105" x14ac:dyDescent="0.55000000000000004">
      <c r="B197" s="100"/>
      <c r="C197" s="103"/>
      <c r="D197" s="107"/>
      <c r="E197" s="73" t="str">
        <f t="shared" si="3"/>
        <v>GIR2308 - 국조령 제111조(구성기업 간 대상조세의 배분) 제1항 제6호 고정사업장의 글로벌최저한세소득·결손이 해당 고정사업장 본점의 글로벌최저한세소득·결손에 포함되는 경우 해당 고정사업장이 그 소득과 관련하여 해당 고정사업장의 소재지국에 납부하는 대상조세는 해당 고정사업장 본점에 배분(이때 고정사업장 본점에 배분하는 대상조세는 해당 고정사업장의 소득금액에 대해 본점의 소재지국에서 일반적 소득에 대해 적용하는 법인세 최고세율을 곱한 금액을 한도로 함)</v>
      </c>
      <c r="F197" s="96" t="s">
        <v>1112</v>
      </c>
      <c r="G197" s="74" t="s">
        <v>1113</v>
      </c>
    </row>
    <row r="198" spans="2:7" ht="60" x14ac:dyDescent="0.55000000000000004">
      <c r="B198" s="101"/>
      <c r="C198" s="104"/>
      <c r="D198" s="107"/>
      <c r="E198" s="75" t="str">
        <f t="shared" si="3"/>
        <v>GIR2309 - 국조령 제111조(구성기업 간 대상조세의 배분) 제1항 제5호 나목 통합형피지배외국법인과세제도의 적용에 따라 적격지분보유자가 납부하는 대상조세: 해당 대상조세에 대응되는 소득을 얻은 피지배외국법인에 배분</v>
      </c>
      <c r="F198" s="97" t="s">
        <v>1114</v>
      </c>
      <c r="G198" s="76" t="s">
        <v>1115</v>
      </c>
    </row>
    <row r="199" spans="2:7" ht="45" x14ac:dyDescent="0.55000000000000004">
      <c r="B199" s="99" t="s">
        <v>172</v>
      </c>
      <c r="C199" s="102" t="s">
        <v>173</v>
      </c>
      <c r="D199" s="105" t="s">
        <v>1116</v>
      </c>
      <c r="E199" s="77" t="str">
        <f t="shared" si="3"/>
        <v>GIR2101 - 국조령 제106조(글로벌최저한세소득·결손의 계산에서 제외되는 국제해운소득·결손 등의 범위) 제1항 제1호 구성기업이 소유 또는 임차하거나 처분 권한을 가지고 있는 국제항행 선박을 통한 운송활동</v>
      </c>
      <c r="F199" s="98" t="s">
        <v>1117</v>
      </c>
      <c r="G199" s="78" t="s">
        <v>1118</v>
      </c>
    </row>
    <row r="200" spans="2:7" ht="45" x14ac:dyDescent="0.55000000000000004">
      <c r="B200" s="100"/>
      <c r="C200" s="103"/>
      <c r="D200" s="105"/>
      <c r="E200" s="73" t="str">
        <f t="shared" si="3"/>
        <v>GIR2102 - 국조령 제106조(글로벌최저한세소득·결손의 계산에서 제외되는 국제해운소득·결손 등의 범위) 제1항 제2호 일부용선 계약에 따른 국제항행 선박의 운송활동</v>
      </c>
      <c r="F200" s="96" t="s">
        <v>1119</v>
      </c>
      <c r="G200" s="74" t="s">
        <v>1120</v>
      </c>
    </row>
    <row r="201" spans="2:7" ht="45" x14ac:dyDescent="0.55000000000000004">
      <c r="B201" s="100"/>
      <c r="C201" s="103"/>
      <c r="D201" s="105"/>
      <c r="E201" s="73" t="str">
        <f t="shared" si="3"/>
        <v>GIR2103 - 국조령 제106조(글로벌최저한세소득·결손의 계산에서 제외되는 국제해운소득·결손 등의 범위) 제1항 제3호 국제항행 운송활동에 사용될 선박(선박장비, 선원 및 선용품을 포함한다)의 임대</v>
      </c>
      <c r="F201" s="96" t="s">
        <v>1121</v>
      </c>
      <c r="G201" s="74" t="s">
        <v>1122</v>
      </c>
    </row>
    <row r="202" spans="2:7" ht="45" x14ac:dyDescent="0.55000000000000004">
      <c r="B202" s="100"/>
      <c r="C202" s="103"/>
      <c r="D202" s="105"/>
      <c r="E202" s="73" t="str">
        <f t="shared" si="3"/>
        <v>GIR2104 - 국조령 제106조(글로벌최저한세소득·결손의 계산에서 제외되는 국제해운소득·결손 등의 범위) 제1항 제4호 다른 구성기업에 대해 국제항행 운송활동에 사용될 선박을 나용선으로 임대</v>
      </c>
      <c r="F202" s="96" t="s">
        <v>1123</v>
      </c>
      <c r="G202" s="74" t="s">
        <v>1124</v>
      </c>
    </row>
    <row r="203" spans="2:7" ht="45" x14ac:dyDescent="0.55000000000000004">
      <c r="B203" s="100"/>
      <c r="C203" s="103"/>
      <c r="D203" s="105"/>
      <c r="E203" s="73" t="str">
        <f t="shared" si="3"/>
        <v>GIR2105 - 국조령 제106조(글로벌최저한세소득·결손의 계산에서 제외되는 국제해운소득·결손 등의 범위) 제1항 제5호 국제항행 선박의 운송활동을 위한 공동운항, 공동사업 또는 국제해운기구에의 참여</v>
      </c>
      <c r="F203" s="96" t="s">
        <v>1125</v>
      </c>
      <c r="G203" s="74" t="s">
        <v>1126</v>
      </c>
    </row>
    <row r="204" spans="2:7" ht="45" x14ac:dyDescent="0.55000000000000004">
      <c r="B204" s="101"/>
      <c r="C204" s="104"/>
      <c r="D204" s="105"/>
      <c r="E204" s="75" t="str">
        <f t="shared" si="3"/>
        <v>GIR2106 - 국조령 제106조(글로벌최저한세소득·결손의 계산에서 제외되는 국제해운소득·결손 등의 범위) 제1항 제6호 국제항행 운송활동에 사용된 선박으로서 구성기업이 1년 이상 보유한 선박의 매각</v>
      </c>
      <c r="F204" s="97" t="s">
        <v>1127</v>
      </c>
      <c r="G204" s="76" t="s">
        <v>1128</v>
      </c>
    </row>
    <row r="205" spans="2:7" ht="45" x14ac:dyDescent="0.55000000000000004">
      <c r="B205" s="99" t="s">
        <v>176</v>
      </c>
      <c r="C205" s="102" t="s">
        <v>173</v>
      </c>
      <c r="D205" s="105" t="s">
        <v>1129</v>
      </c>
      <c r="E205" s="77" t="str">
        <f t="shared" si="3"/>
        <v>GIR2201 - 국조령 제106조(글로벌최저한세소득·결손의 계산에서 제외되는 국제해운소득·결손 등의 범위) 제2항 제1호 구성기업 외의 해운기업에 대한 나용선 임대(용선 기간이 3년을 초과하지 않는 경우로 한정)</v>
      </c>
      <c r="F205" s="98" t="s">
        <v>1130</v>
      </c>
      <c r="G205" s="78" t="s">
        <v>1131</v>
      </c>
    </row>
    <row r="206" spans="2:7" ht="45" x14ac:dyDescent="0.55000000000000004">
      <c r="B206" s="100"/>
      <c r="C206" s="103"/>
      <c r="D206" s="105"/>
      <c r="E206" s="73" t="str">
        <f t="shared" si="3"/>
        <v>GIR2202 - 국조령 제106조(글로벌최저한세소득·결손의 계산에서 제외되는 국제해운소득·결손 등의 범위) 제2항 제2호 국제항행 여정의 국내 구간을 항행하는 다른 해운기업이 발권하는 표의 판매</v>
      </c>
      <c r="F206" s="96" t="s">
        <v>1132</v>
      </c>
      <c r="G206" s="74" t="s">
        <v>1133</v>
      </c>
    </row>
    <row r="207" spans="2:7" ht="45" x14ac:dyDescent="0.55000000000000004">
      <c r="B207" s="100"/>
      <c r="C207" s="103"/>
      <c r="D207" s="105"/>
      <c r="E207" s="73" t="str">
        <f t="shared" si="3"/>
        <v>GIR2203 - 국조령 제106조(글로벌최저한세소득·결손의 계산에서 제외되는 국제해운소득·결손 등의 범위) 제2항 제3호 컨테이너 임대(그 반납 지연에 따른 지체료 청구를 포함한다) 및 통상 5일 이하의 단기 보관</v>
      </c>
      <c r="F207" s="96" t="s">
        <v>1134</v>
      </c>
      <c r="G207" s="74" t="s">
        <v>1135</v>
      </c>
    </row>
    <row r="208" spans="2:7" ht="60" x14ac:dyDescent="0.55000000000000004">
      <c r="B208" s="100"/>
      <c r="C208" s="103"/>
      <c r="D208" s="105"/>
      <c r="E208" s="73" t="str">
        <f t="shared" si="3"/>
        <v>GIR2204 - 국조령 제106조(글로벌최저한세소득·결손의 계산에서 제외되는 국제해운소득·결손 등의 범위) 제2항 제4호 엔지니어, 유지보수 인력, 화물 처리 인력, 급식서비스 인력 및 고객서비스 인력이 다른 해운기업에 제공하는 서비스</v>
      </c>
      <c r="F208" s="96" t="s">
        <v>1136</v>
      </c>
      <c r="G208" s="74" t="s">
        <v>1137</v>
      </c>
    </row>
    <row r="209" spans="2:7" ht="45.45" thickBot="1" x14ac:dyDescent="0.6">
      <c r="B209" s="101"/>
      <c r="C209" s="104"/>
      <c r="D209" s="106"/>
      <c r="E209" s="75" t="str">
        <f t="shared" si="3"/>
        <v>GIR2205 - 국조령 제106조(글로벌최저한세소득·결손의 계산에서 제외되는 국제해운소득·결손 등의 범위) 제2항 제5호 국제해운사업의 영위를 위한 필수적인 투자</v>
      </c>
      <c r="F209" s="97" t="s">
        <v>1138</v>
      </c>
      <c r="G209" s="76" t="s">
        <v>1139</v>
      </c>
    </row>
  </sheetData>
  <mergeCells count="75">
    <mergeCell ref="B3:B7"/>
    <mergeCell ref="C3:C7"/>
    <mergeCell ref="D3:D7"/>
    <mergeCell ref="B8:B11"/>
    <mergeCell ref="C8:C11"/>
    <mergeCell ref="D8:D11"/>
    <mergeCell ref="B12:B16"/>
    <mergeCell ref="C12:C16"/>
    <mergeCell ref="D12:D16"/>
    <mergeCell ref="B17:B34"/>
    <mergeCell ref="C17:C34"/>
    <mergeCell ref="D17:D34"/>
    <mergeCell ref="B35:B40"/>
    <mergeCell ref="C35:C40"/>
    <mergeCell ref="D35:D40"/>
    <mergeCell ref="B41:B45"/>
    <mergeCell ref="C41:C45"/>
    <mergeCell ref="D41:D45"/>
    <mergeCell ref="B46:B63"/>
    <mergeCell ref="C46:C63"/>
    <mergeCell ref="D46:D63"/>
    <mergeCell ref="B64:B69"/>
    <mergeCell ref="C64:C69"/>
    <mergeCell ref="D64:D69"/>
    <mergeCell ref="B70:B72"/>
    <mergeCell ref="C70:C72"/>
    <mergeCell ref="D70:D72"/>
    <mergeCell ref="B73:B80"/>
    <mergeCell ref="C73:C80"/>
    <mergeCell ref="D73:D80"/>
    <mergeCell ref="B81:B101"/>
    <mergeCell ref="C81:C101"/>
    <mergeCell ref="D81:D101"/>
    <mergeCell ref="B102:B107"/>
    <mergeCell ref="C102:C107"/>
    <mergeCell ref="D102:D107"/>
    <mergeCell ref="B108:B116"/>
    <mergeCell ref="C108:C116"/>
    <mergeCell ref="D108:D116"/>
    <mergeCell ref="B117:B130"/>
    <mergeCell ref="C117:C130"/>
    <mergeCell ref="D117:D130"/>
    <mergeCell ref="B131:B139"/>
    <mergeCell ref="C131:C139"/>
    <mergeCell ref="D131:D139"/>
    <mergeCell ref="B140:B148"/>
    <mergeCell ref="C140:C148"/>
    <mergeCell ref="D140:D148"/>
    <mergeCell ref="B149:B157"/>
    <mergeCell ref="C149:C157"/>
    <mergeCell ref="D149:D157"/>
    <mergeCell ref="B158:B166"/>
    <mergeCell ref="C158:C166"/>
    <mergeCell ref="D158:D166"/>
    <mergeCell ref="B167:B172"/>
    <mergeCell ref="C167:C172"/>
    <mergeCell ref="D167:D172"/>
    <mergeCell ref="B173:B176"/>
    <mergeCell ref="C173:C176"/>
    <mergeCell ref="D173:D176"/>
    <mergeCell ref="B177:B178"/>
    <mergeCell ref="C177:C178"/>
    <mergeCell ref="D177:D178"/>
    <mergeCell ref="B179:B189"/>
    <mergeCell ref="C179:C189"/>
    <mergeCell ref="D179:D189"/>
    <mergeCell ref="B205:B209"/>
    <mergeCell ref="C205:C209"/>
    <mergeCell ref="D205:D209"/>
    <mergeCell ref="B190:B198"/>
    <mergeCell ref="C190:C198"/>
    <mergeCell ref="D190:D198"/>
    <mergeCell ref="B199:B204"/>
    <mergeCell ref="C199:C204"/>
    <mergeCell ref="D199:D204"/>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DBA0B-7741-43BB-9D63-BBA312AB123F}">
  <sheetPr codeName="Sheet3">
    <tabColor theme="1" tint="4.9989318521683403E-2"/>
    <pageSetUpPr fitToPage="1"/>
  </sheetPr>
  <dimension ref="A1:E74"/>
  <sheetViews>
    <sheetView showGridLines="0" topLeftCell="B120" zoomScaleNormal="100" workbookViewId="0">
      <selection activeCell="B10" sqref="B10"/>
    </sheetView>
  </sheetViews>
  <sheetFormatPr defaultRowHeight="17.600000000000001" x14ac:dyDescent="0.55000000000000004"/>
  <cols>
    <col min="1" max="1" width="1" customWidth="1"/>
    <col min="2" max="2" width="80.85546875" style="18" customWidth="1"/>
    <col min="3" max="3" width="7.42578125" customWidth="1"/>
    <col min="4" max="4" width="15.35546875" style="5" customWidth="1"/>
    <col min="5" max="5" width="6.42578125" style="5" customWidth="1"/>
  </cols>
  <sheetData>
    <row r="1" spans="1:5" ht="23.6" x14ac:dyDescent="0.55000000000000004">
      <c r="A1" s="19" t="s">
        <v>197</v>
      </c>
      <c r="B1" s="70" t="s">
        <v>1145</v>
      </c>
      <c r="C1" s="57"/>
      <c r="D1" s="58"/>
      <c r="E1" s="58"/>
    </row>
    <row r="2" spans="1:5" x14ac:dyDescent="0.55000000000000004">
      <c r="B2" s="60" t="s">
        <v>198</v>
      </c>
      <c r="C2" s="61" t="s">
        <v>1143</v>
      </c>
      <c r="D2" s="62" t="s">
        <v>1141</v>
      </c>
      <c r="E2" s="62" t="s">
        <v>199</v>
      </c>
    </row>
    <row r="3" spans="1:5" x14ac:dyDescent="0.55000000000000004">
      <c r="B3" s="63" t="s">
        <v>200</v>
      </c>
      <c r="C3" s="116">
        <v>1</v>
      </c>
      <c r="D3" s="115" t="s">
        <v>201</v>
      </c>
      <c r="E3" s="115">
        <v>1</v>
      </c>
    </row>
    <row r="4" spans="1:5" x14ac:dyDescent="0.55000000000000004">
      <c r="B4" s="64" t="s">
        <v>202</v>
      </c>
      <c r="C4" s="116"/>
      <c r="D4" s="114"/>
      <c r="E4" s="114"/>
    </row>
    <row r="5" spans="1:5" x14ac:dyDescent="0.55000000000000004">
      <c r="B5" s="64" t="s">
        <v>203</v>
      </c>
      <c r="C5" s="116"/>
      <c r="D5" s="114"/>
      <c r="E5" s="114"/>
    </row>
    <row r="6" spans="1:5" x14ac:dyDescent="0.55000000000000004">
      <c r="B6" s="66" t="s">
        <v>204</v>
      </c>
      <c r="C6" s="116"/>
      <c r="D6" s="114"/>
      <c r="E6" s="114"/>
    </row>
    <row r="7" spans="1:5" x14ac:dyDescent="0.55000000000000004">
      <c r="B7" s="66" t="s">
        <v>205</v>
      </c>
      <c r="C7" s="116"/>
      <c r="D7" s="114"/>
      <c r="E7" s="114"/>
    </row>
    <row r="8" spans="1:5" x14ac:dyDescent="0.55000000000000004">
      <c r="B8" s="64" t="s">
        <v>206</v>
      </c>
      <c r="C8" s="116"/>
      <c r="D8" s="114"/>
      <c r="E8" s="114"/>
    </row>
    <row r="9" spans="1:5" x14ac:dyDescent="0.55000000000000004">
      <c r="B9" s="66" t="s">
        <v>207</v>
      </c>
      <c r="C9" s="116"/>
      <c r="D9" s="65" t="s">
        <v>208</v>
      </c>
      <c r="E9" s="65">
        <v>2</v>
      </c>
    </row>
    <row r="10" spans="1:5" x14ac:dyDescent="0.55000000000000004">
      <c r="B10" s="66" t="s">
        <v>209</v>
      </c>
      <c r="C10" s="116">
        <v>2</v>
      </c>
      <c r="D10" s="114" t="s">
        <v>210</v>
      </c>
      <c r="E10" s="114">
        <v>3</v>
      </c>
    </row>
    <row r="11" spans="1:5" x14ac:dyDescent="0.55000000000000004">
      <c r="B11" s="66" t="s">
        <v>211</v>
      </c>
      <c r="C11" s="116"/>
      <c r="D11" s="114"/>
      <c r="E11" s="114"/>
    </row>
    <row r="12" spans="1:5" x14ac:dyDescent="0.55000000000000004">
      <c r="B12" s="66" t="s">
        <v>212</v>
      </c>
      <c r="C12" s="116">
        <v>3</v>
      </c>
      <c r="D12" s="65" t="s">
        <v>213</v>
      </c>
      <c r="E12" s="65">
        <v>4</v>
      </c>
    </row>
    <row r="13" spans="1:5" x14ac:dyDescent="0.55000000000000004">
      <c r="B13" s="66" t="s">
        <v>214</v>
      </c>
      <c r="C13" s="116"/>
      <c r="D13" s="65" t="s">
        <v>215</v>
      </c>
      <c r="E13" s="65">
        <v>5</v>
      </c>
    </row>
    <row r="14" spans="1:5" x14ac:dyDescent="0.55000000000000004">
      <c r="B14" s="64" t="s">
        <v>216</v>
      </c>
      <c r="C14" s="116"/>
      <c r="D14" s="65" t="s">
        <v>217</v>
      </c>
      <c r="E14" s="65">
        <v>6</v>
      </c>
    </row>
    <row r="15" spans="1:5" x14ac:dyDescent="0.55000000000000004">
      <c r="B15" s="63" t="s">
        <v>1142</v>
      </c>
      <c r="C15" s="116">
        <v>4</v>
      </c>
      <c r="D15" s="114" t="s">
        <v>219</v>
      </c>
      <c r="E15" s="114">
        <v>7</v>
      </c>
    </row>
    <row r="16" spans="1:5" x14ac:dyDescent="0.55000000000000004">
      <c r="B16" s="67" t="s">
        <v>221</v>
      </c>
      <c r="C16" s="116"/>
      <c r="D16" s="114"/>
      <c r="E16" s="114"/>
    </row>
    <row r="17" spans="2:5" x14ac:dyDescent="0.55000000000000004">
      <c r="B17" s="67" t="s">
        <v>222</v>
      </c>
      <c r="C17" s="116"/>
      <c r="D17" s="114"/>
      <c r="E17" s="114"/>
    </row>
    <row r="18" spans="2:5" x14ac:dyDescent="0.55000000000000004">
      <c r="B18" s="66" t="s">
        <v>223</v>
      </c>
      <c r="C18" s="116"/>
      <c r="D18" s="114"/>
      <c r="E18" s="114"/>
    </row>
    <row r="19" spans="2:5" x14ac:dyDescent="0.55000000000000004">
      <c r="B19" s="66" t="s">
        <v>224</v>
      </c>
      <c r="C19" s="116"/>
      <c r="D19" s="114"/>
      <c r="E19" s="114"/>
    </row>
    <row r="20" spans="2:5" x14ac:dyDescent="0.55000000000000004">
      <c r="B20" s="66" t="s">
        <v>225</v>
      </c>
      <c r="C20" s="116"/>
      <c r="D20" s="114"/>
      <c r="E20" s="114"/>
    </row>
    <row r="21" spans="2:5" x14ac:dyDescent="0.55000000000000004">
      <c r="B21" s="66" t="s">
        <v>226</v>
      </c>
      <c r="C21" s="116">
        <v>5</v>
      </c>
      <c r="D21" s="114"/>
      <c r="E21" s="114"/>
    </row>
    <row r="22" spans="2:5" x14ac:dyDescent="0.55000000000000004">
      <c r="B22" s="66" t="s">
        <v>227</v>
      </c>
      <c r="C22" s="116"/>
      <c r="D22" s="114"/>
      <c r="E22" s="114"/>
    </row>
    <row r="23" spans="2:5" x14ac:dyDescent="0.55000000000000004">
      <c r="B23" s="67" t="s">
        <v>228</v>
      </c>
      <c r="C23" s="116"/>
      <c r="D23" s="114"/>
      <c r="E23" s="114"/>
    </row>
    <row r="24" spans="2:5" x14ac:dyDescent="0.55000000000000004">
      <c r="B24" s="63" t="s">
        <v>229</v>
      </c>
      <c r="C24" s="116">
        <v>6</v>
      </c>
      <c r="D24" s="114" t="s">
        <v>230</v>
      </c>
      <c r="E24" s="114">
        <v>9</v>
      </c>
    </row>
    <row r="25" spans="2:5" x14ac:dyDescent="0.55000000000000004">
      <c r="B25" s="60" t="s">
        <v>231</v>
      </c>
      <c r="C25" s="116"/>
      <c r="D25" s="114"/>
      <c r="E25" s="114"/>
    </row>
    <row r="26" spans="2:5" x14ac:dyDescent="0.55000000000000004">
      <c r="B26" s="60" t="s">
        <v>232</v>
      </c>
      <c r="C26" s="116"/>
      <c r="D26" s="114"/>
      <c r="E26" s="114"/>
    </row>
    <row r="27" spans="2:5" x14ac:dyDescent="0.55000000000000004">
      <c r="B27" s="67" t="s">
        <v>233</v>
      </c>
      <c r="C27" s="116"/>
      <c r="D27" s="114"/>
      <c r="E27" s="114"/>
    </row>
    <row r="28" spans="2:5" x14ac:dyDescent="0.55000000000000004">
      <c r="B28" s="66" t="s">
        <v>234</v>
      </c>
      <c r="C28" s="59">
        <v>7</v>
      </c>
      <c r="D28" s="114"/>
      <c r="E28" s="114"/>
    </row>
    <row r="29" spans="2:5" x14ac:dyDescent="0.55000000000000004">
      <c r="B29" s="66" t="s">
        <v>238</v>
      </c>
      <c r="C29" s="116">
        <v>8</v>
      </c>
      <c r="D29" s="114"/>
      <c r="E29" s="114"/>
    </row>
    <row r="30" spans="2:5" x14ac:dyDescent="0.55000000000000004">
      <c r="B30" s="68" t="s">
        <v>239</v>
      </c>
      <c r="C30" s="116"/>
      <c r="D30" s="114"/>
      <c r="E30" s="114"/>
    </row>
    <row r="31" spans="2:5" x14ac:dyDescent="0.55000000000000004">
      <c r="B31" s="68" t="s">
        <v>242</v>
      </c>
      <c r="C31" s="116">
        <v>9</v>
      </c>
      <c r="D31" s="114"/>
      <c r="E31" s="114"/>
    </row>
    <row r="32" spans="2:5" x14ac:dyDescent="0.55000000000000004">
      <c r="B32" s="68" t="s">
        <v>243</v>
      </c>
      <c r="C32" s="116"/>
      <c r="D32" s="114"/>
      <c r="E32" s="114"/>
    </row>
    <row r="33" spans="2:5" x14ac:dyDescent="0.55000000000000004">
      <c r="B33" s="67" t="s">
        <v>244</v>
      </c>
      <c r="C33" s="116"/>
      <c r="D33" s="114"/>
      <c r="E33" s="114"/>
    </row>
    <row r="34" spans="2:5" x14ac:dyDescent="0.55000000000000004">
      <c r="B34" s="66" t="s">
        <v>245</v>
      </c>
      <c r="C34" s="116"/>
      <c r="D34" s="114"/>
      <c r="E34" s="114"/>
    </row>
    <row r="35" spans="2:5" x14ac:dyDescent="0.55000000000000004">
      <c r="B35" s="68" t="s">
        <v>246</v>
      </c>
      <c r="C35" s="116"/>
      <c r="D35" s="114"/>
      <c r="E35" s="114"/>
    </row>
    <row r="36" spans="2:5" x14ac:dyDescent="0.55000000000000004">
      <c r="B36" s="68" t="s">
        <v>786</v>
      </c>
      <c r="C36" s="59">
        <v>10</v>
      </c>
      <c r="D36" s="114"/>
      <c r="E36" s="114"/>
    </row>
    <row r="37" spans="2:5" x14ac:dyDescent="0.55000000000000004">
      <c r="B37" s="68" t="s">
        <v>250</v>
      </c>
      <c r="C37" s="116">
        <v>11</v>
      </c>
      <c r="D37" s="114"/>
      <c r="E37" s="114"/>
    </row>
    <row r="38" spans="2:5" x14ac:dyDescent="0.55000000000000004">
      <c r="B38" s="66" t="s">
        <v>251</v>
      </c>
      <c r="C38" s="116"/>
      <c r="D38" s="114"/>
      <c r="E38" s="114"/>
    </row>
    <row r="39" spans="2:5" x14ac:dyDescent="0.55000000000000004">
      <c r="B39" s="66" t="s">
        <v>254</v>
      </c>
      <c r="C39" s="59">
        <v>12</v>
      </c>
      <c r="D39" s="114"/>
      <c r="E39" s="114"/>
    </row>
    <row r="40" spans="2:5" x14ac:dyDescent="0.55000000000000004">
      <c r="B40" s="67" t="s">
        <v>257</v>
      </c>
      <c r="C40" s="116">
        <v>13</v>
      </c>
      <c r="D40" s="114"/>
      <c r="E40" s="114"/>
    </row>
    <row r="41" spans="2:5" x14ac:dyDescent="0.55000000000000004">
      <c r="B41" s="66" t="s">
        <v>258</v>
      </c>
      <c r="C41" s="116"/>
      <c r="D41" s="114"/>
      <c r="E41" s="114"/>
    </row>
    <row r="42" spans="2:5" x14ac:dyDescent="0.55000000000000004">
      <c r="B42" s="68" t="s">
        <v>259</v>
      </c>
      <c r="C42" s="116"/>
      <c r="D42" s="114"/>
      <c r="E42" s="114"/>
    </row>
    <row r="43" spans="2:5" x14ac:dyDescent="0.55000000000000004">
      <c r="B43" s="68" t="s">
        <v>787</v>
      </c>
      <c r="C43" s="116">
        <v>14</v>
      </c>
      <c r="D43" s="114"/>
      <c r="E43" s="114"/>
    </row>
    <row r="44" spans="2:5" x14ac:dyDescent="0.55000000000000004">
      <c r="B44" s="66" t="s">
        <v>261</v>
      </c>
      <c r="C44" s="116"/>
      <c r="D44" s="114"/>
      <c r="E44" s="114"/>
    </row>
    <row r="45" spans="2:5" x14ac:dyDescent="0.55000000000000004">
      <c r="B45" s="67" t="s">
        <v>264</v>
      </c>
      <c r="C45" s="116">
        <v>15</v>
      </c>
      <c r="D45" s="114" t="s">
        <v>265</v>
      </c>
      <c r="E45" s="114">
        <v>10</v>
      </c>
    </row>
    <row r="46" spans="2:5" x14ac:dyDescent="0.55000000000000004">
      <c r="B46" s="68" t="s">
        <v>266</v>
      </c>
      <c r="C46" s="116"/>
      <c r="D46" s="114"/>
      <c r="E46" s="114"/>
    </row>
    <row r="47" spans="2:5" x14ac:dyDescent="0.55000000000000004">
      <c r="B47" s="68" t="s">
        <v>267</v>
      </c>
      <c r="C47" s="116"/>
      <c r="D47" s="114"/>
      <c r="E47" s="114"/>
    </row>
    <row r="48" spans="2:5" x14ac:dyDescent="0.55000000000000004">
      <c r="B48" s="66" t="s">
        <v>268</v>
      </c>
      <c r="C48" s="116">
        <v>16</v>
      </c>
      <c r="D48" s="114"/>
      <c r="E48" s="114"/>
    </row>
    <row r="49" spans="2:5" x14ac:dyDescent="0.55000000000000004">
      <c r="B49" s="68" t="s">
        <v>269</v>
      </c>
      <c r="C49" s="116"/>
      <c r="D49" s="114"/>
      <c r="E49" s="114"/>
    </row>
    <row r="50" spans="2:5" x14ac:dyDescent="0.55000000000000004">
      <c r="B50" s="69" t="s">
        <v>1144</v>
      </c>
      <c r="C50" s="116">
        <v>17</v>
      </c>
      <c r="D50" s="114"/>
      <c r="E50" s="114"/>
    </row>
    <row r="51" spans="2:5" x14ac:dyDescent="0.55000000000000004">
      <c r="B51" s="68" t="s">
        <v>275</v>
      </c>
      <c r="C51" s="116"/>
      <c r="D51" s="114"/>
      <c r="E51" s="114"/>
    </row>
    <row r="52" spans="2:5" ht="35.15" x14ac:dyDescent="0.55000000000000004">
      <c r="B52" s="68" t="s">
        <v>276</v>
      </c>
      <c r="C52" s="116"/>
      <c r="D52" s="114"/>
      <c r="E52" s="114"/>
    </row>
    <row r="53" spans="2:5" x14ac:dyDescent="0.55000000000000004">
      <c r="B53" s="66" t="s">
        <v>277</v>
      </c>
      <c r="C53" s="116">
        <v>18</v>
      </c>
      <c r="D53" s="114"/>
      <c r="E53" s="114"/>
    </row>
    <row r="54" spans="2:5" x14ac:dyDescent="0.55000000000000004">
      <c r="B54" s="68" t="s">
        <v>278</v>
      </c>
      <c r="C54" s="116"/>
      <c r="D54" s="114"/>
      <c r="E54" s="114"/>
    </row>
    <row r="55" spans="2:5" x14ac:dyDescent="0.55000000000000004">
      <c r="B55" s="68" t="s">
        <v>282</v>
      </c>
      <c r="C55" s="116">
        <v>19</v>
      </c>
      <c r="D55" s="114"/>
      <c r="E55" s="114"/>
    </row>
    <row r="56" spans="2:5" x14ac:dyDescent="0.55000000000000004">
      <c r="B56" s="68" t="s">
        <v>283</v>
      </c>
      <c r="C56" s="116"/>
      <c r="D56" s="114"/>
      <c r="E56" s="114"/>
    </row>
    <row r="57" spans="2:5" x14ac:dyDescent="0.55000000000000004">
      <c r="B57" s="66" t="s">
        <v>289</v>
      </c>
      <c r="C57" s="59">
        <v>20</v>
      </c>
      <c r="D57" s="114"/>
      <c r="E57" s="114"/>
    </row>
    <row r="58" spans="2:5" x14ac:dyDescent="0.55000000000000004">
      <c r="B58" s="66" t="s">
        <v>290</v>
      </c>
      <c r="C58" s="116">
        <v>21</v>
      </c>
      <c r="D58" s="114"/>
      <c r="E58" s="114"/>
    </row>
    <row r="59" spans="2:5" x14ac:dyDescent="0.55000000000000004">
      <c r="B59" s="68" t="s">
        <v>291</v>
      </c>
      <c r="C59" s="116"/>
      <c r="D59" s="114"/>
      <c r="E59" s="114"/>
    </row>
    <row r="60" spans="2:5" x14ac:dyDescent="0.55000000000000004">
      <c r="B60" s="68" t="s">
        <v>292</v>
      </c>
      <c r="C60" s="116"/>
      <c r="D60" s="65" t="s">
        <v>230</v>
      </c>
      <c r="E60" s="65">
        <v>9</v>
      </c>
    </row>
    <row r="61" spans="2:5" x14ac:dyDescent="0.55000000000000004">
      <c r="B61" s="66" t="s">
        <v>293</v>
      </c>
      <c r="C61" s="116">
        <v>22</v>
      </c>
      <c r="D61" s="114" t="s">
        <v>265</v>
      </c>
      <c r="E61" s="114">
        <v>10</v>
      </c>
    </row>
    <row r="62" spans="2:5" x14ac:dyDescent="0.55000000000000004">
      <c r="B62" s="66" t="s">
        <v>294</v>
      </c>
      <c r="C62" s="116"/>
      <c r="D62" s="114"/>
      <c r="E62" s="114"/>
    </row>
    <row r="63" spans="2:5" x14ac:dyDescent="0.55000000000000004">
      <c r="B63" s="60" t="s">
        <v>295</v>
      </c>
      <c r="C63" s="116">
        <v>23</v>
      </c>
      <c r="D63" s="114" t="s">
        <v>230</v>
      </c>
      <c r="E63" s="114">
        <v>9</v>
      </c>
    </row>
    <row r="64" spans="2:5" x14ac:dyDescent="0.55000000000000004">
      <c r="B64" s="67" t="s">
        <v>296</v>
      </c>
      <c r="C64" s="116"/>
      <c r="D64" s="114"/>
      <c r="E64" s="114"/>
    </row>
    <row r="65" spans="2:5" x14ac:dyDescent="0.55000000000000004">
      <c r="B65" s="66" t="s">
        <v>297</v>
      </c>
      <c r="C65" s="116"/>
      <c r="D65" s="114"/>
      <c r="E65" s="114"/>
    </row>
    <row r="66" spans="2:5" x14ac:dyDescent="0.55000000000000004">
      <c r="B66" s="66" t="s">
        <v>298</v>
      </c>
      <c r="C66" s="116"/>
      <c r="D66" s="114"/>
      <c r="E66" s="114"/>
    </row>
    <row r="67" spans="2:5" x14ac:dyDescent="0.55000000000000004">
      <c r="B67" s="67" t="s">
        <v>299</v>
      </c>
      <c r="C67" s="116">
        <v>24</v>
      </c>
      <c r="D67" s="114"/>
      <c r="E67" s="114"/>
    </row>
    <row r="68" spans="2:5" x14ac:dyDescent="0.55000000000000004">
      <c r="B68" s="66" t="s">
        <v>300</v>
      </c>
      <c r="C68" s="116"/>
      <c r="D68" s="114"/>
      <c r="E68" s="114"/>
    </row>
    <row r="69" spans="2:5" x14ac:dyDescent="0.55000000000000004">
      <c r="B69" s="66" t="s">
        <v>301</v>
      </c>
      <c r="C69" s="116"/>
      <c r="D69" s="114"/>
      <c r="E69" s="114"/>
    </row>
    <row r="70" spans="2:5" x14ac:dyDescent="0.55000000000000004">
      <c r="B70" s="66" t="s">
        <v>302</v>
      </c>
      <c r="C70" s="116"/>
      <c r="D70" s="114"/>
      <c r="E70" s="114"/>
    </row>
    <row r="71" spans="2:5" x14ac:dyDescent="0.55000000000000004">
      <c r="B71" s="60" t="s">
        <v>303</v>
      </c>
      <c r="C71" s="116">
        <v>25</v>
      </c>
      <c r="D71" s="114" t="s">
        <v>265</v>
      </c>
      <c r="E71" s="114">
        <v>10</v>
      </c>
    </row>
    <row r="72" spans="2:5" x14ac:dyDescent="0.55000000000000004">
      <c r="B72" s="66" t="s">
        <v>304</v>
      </c>
      <c r="C72" s="116"/>
      <c r="D72" s="114"/>
      <c r="E72" s="114"/>
    </row>
    <row r="73" spans="2:5" x14ac:dyDescent="0.55000000000000004">
      <c r="B73" s="66" t="s">
        <v>305</v>
      </c>
      <c r="C73" s="116"/>
      <c r="D73" s="114"/>
      <c r="E73" s="114"/>
    </row>
    <row r="74" spans="2:5" x14ac:dyDescent="0.55000000000000004">
      <c r="B74" s="66" t="s">
        <v>306</v>
      </c>
      <c r="C74" s="116"/>
      <c r="D74" s="114"/>
      <c r="E74" s="114"/>
    </row>
  </sheetData>
  <mergeCells count="37">
    <mergeCell ref="E61:E62"/>
    <mergeCell ref="E63:E70"/>
    <mergeCell ref="E71:E74"/>
    <mergeCell ref="E3:E8"/>
    <mergeCell ref="E10:E11"/>
    <mergeCell ref="E15:E23"/>
    <mergeCell ref="E24:E44"/>
    <mergeCell ref="E45:E59"/>
    <mergeCell ref="C3:C9"/>
    <mergeCell ref="C10:C11"/>
    <mergeCell ref="C12:C14"/>
    <mergeCell ref="C15:C20"/>
    <mergeCell ref="C21:C23"/>
    <mergeCell ref="C24:C27"/>
    <mergeCell ref="C29:C30"/>
    <mergeCell ref="C31:C35"/>
    <mergeCell ref="C37:C38"/>
    <mergeCell ref="C71:C74"/>
    <mergeCell ref="C40:C42"/>
    <mergeCell ref="C43:C44"/>
    <mergeCell ref="C45:C47"/>
    <mergeCell ref="C48:C49"/>
    <mergeCell ref="C50:C52"/>
    <mergeCell ref="C53:C54"/>
    <mergeCell ref="C55:C56"/>
    <mergeCell ref="C58:C60"/>
    <mergeCell ref="C61:C62"/>
    <mergeCell ref="C63:C66"/>
    <mergeCell ref="C67:C70"/>
    <mergeCell ref="D61:D62"/>
    <mergeCell ref="D63:D70"/>
    <mergeCell ref="D71:D74"/>
    <mergeCell ref="D3:D8"/>
    <mergeCell ref="D10:D11"/>
    <mergeCell ref="D15:D23"/>
    <mergeCell ref="D24:D44"/>
    <mergeCell ref="D45:D59"/>
  </mergeCells>
  <phoneticPr fontId="2" type="noConversion"/>
  <hyperlinks>
    <hyperlink ref="D3:D8" location="'MNE그룹 정보'!A1" display="MNE그룹 정보" xr:uid="{701724A0-08DE-425D-B801-67C84ADBD95B}"/>
    <hyperlink ref="D9" location="최종모기업!A1" display="최종모기업" xr:uid="{3739B6B8-428A-41D6-8D86-95DC9CEC055E}"/>
    <hyperlink ref="D10:D11" location="그룹구조!A1" display="그룹구조" xr:uid="{DB4A94DD-34AD-4E43-882E-DE056C9EC277}"/>
    <hyperlink ref="D12" location="제외기업!A1" display="제외기업" xr:uid="{EED910AD-D96F-48D5-94D5-20753D022DFF}"/>
    <hyperlink ref="D13" location="'그룹구조 변동'!A1" display="그룹구조 변동" xr:uid="{66377A4A-CC97-421B-9E54-27AC83040CBE}"/>
    <hyperlink ref="D14" location="요약!A1" display="요약" xr:uid="{5868BB99-FF57-42F7-95D1-DCA58C1E89A9}"/>
    <hyperlink ref="D15:D23" location="적용면제!A1" display="적용면제" xr:uid="{92A29F2A-0F49-4EB1-B545-48B014BB4936}"/>
    <hyperlink ref="D24:D44" location="'국가별 계산'!A1" display="국가별 계산" xr:uid="{E5A5EEC9-5663-42CB-8F4D-E834077B5B80}"/>
    <hyperlink ref="D45:D59" location="'구성기업 계산'!A1" display="구성기업 계산" xr:uid="{35A25065-FE89-4C4C-B5E7-6EAF34B133D8}"/>
    <hyperlink ref="D60" location="'국가별 계산'!A1" display="국가별 계산" xr:uid="{0187B717-F6F4-43E5-B1DF-9A439E4A4812}"/>
    <hyperlink ref="D61:D62" location="'구성기업 계산'!A1" display="구성기업 계산" xr:uid="{3DA0F2D8-13FC-44C7-8C14-6B824B371C0E}"/>
    <hyperlink ref="D63:D70" location="'국가별 계산'!A1" display="국가별 계산" xr:uid="{8C4FD39F-3236-4774-8BE4-415642FC8480}"/>
    <hyperlink ref="D71:D74" location="'구성기업 계산'!A1" display="구성기업 계산" xr:uid="{B7D5AD79-F758-47D6-A69C-79FFA58E1FE2}"/>
  </hyperlinks>
  <pageMargins left="0.7" right="0.7" top="0.75" bottom="0.75" header="0.3" footer="0.3"/>
  <pageSetup paperSize="9" scale="72" fitToHeight="0" orientation="portrait" verticalDpi="0" r:id="rId1"/>
  <colBreaks count="1" manualBreakCount="1">
    <brk id="1" max="81"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pageSetUpPr fitToPage="1"/>
  </sheetPr>
  <dimension ref="B2:R18"/>
  <sheetViews>
    <sheetView showGridLines="0" view="pageBreakPreview" zoomScale="85" zoomScaleNormal="85" zoomScaleSheetLayoutView="85" workbookViewId="0">
      <selection activeCell="B2" sqref="B2:B5"/>
    </sheetView>
  </sheetViews>
  <sheetFormatPr defaultColWidth="8.640625" defaultRowHeight="17.600000000000001" x14ac:dyDescent="0.55000000000000004"/>
  <cols>
    <col min="1" max="1" width="2" style="1" customWidth="1"/>
    <col min="2" max="2" width="14.140625" style="1" customWidth="1"/>
    <col min="3" max="3" width="10.640625" style="1" customWidth="1"/>
    <col min="4" max="4" width="7.5703125" style="1" customWidth="1"/>
    <col min="5" max="5" width="5.92578125" style="1" customWidth="1"/>
    <col min="6" max="6" width="9.5" style="1" customWidth="1"/>
    <col min="7" max="7" width="5.92578125" style="1" customWidth="1"/>
    <col min="8" max="8" width="7.5703125" style="1" customWidth="1"/>
    <col min="9" max="9" width="6.7109375" style="1" customWidth="1"/>
    <col min="10" max="10" width="10.640625" style="1" customWidth="1"/>
    <col min="11" max="11" width="11" style="1" customWidth="1"/>
    <col min="12" max="12" width="8.5703125" style="1" customWidth="1"/>
    <col min="13" max="13" width="9.42578125" style="1" customWidth="1"/>
    <col min="14" max="15" width="10.78515625" style="1" customWidth="1"/>
    <col min="16" max="16" width="8.140625" style="1" customWidth="1"/>
    <col min="17" max="17" width="5.0703125" style="1" customWidth="1"/>
    <col min="18" max="18" width="10.640625" style="1" customWidth="1"/>
    <col min="19" max="19" width="8.640625" style="1" customWidth="1"/>
    <col min="20" max="16384" width="8.640625" style="1"/>
  </cols>
  <sheetData>
    <row r="2" spans="2:18" ht="23.5" customHeight="1" x14ac:dyDescent="0.45">
      <c r="B2" s="148" t="s">
        <v>311</v>
      </c>
      <c r="C2" s="133">
        <v>45292</v>
      </c>
      <c r="D2" s="132"/>
      <c r="E2" s="150" t="s">
        <v>312</v>
      </c>
      <c r="F2" s="151"/>
      <c r="G2" s="151"/>
      <c r="H2" s="151"/>
      <c r="I2" s="151"/>
      <c r="J2" s="151"/>
      <c r="K2" s="151"/>
      <c r="L2" s="151"/>
      <c r="M2" s="151"/>
      <c r="N2" s="155" t="s">
        <v>313</v>
      </c>
      <c r="O2" s="156"/>
      <c r="P2" s="159"/>
      <c r="Q2" s="160"/>
      <c r="R2" s="160"/>
    </row>
    <row r="3" spans="2:18" ht="4.95" customHeight="1" x14ac:dyDescent="0.55000000000000004">
      <c r="B3" s="149"/>
      <c r="C3" s="162" t="s">
        <v>314</v>
      </c>
      <c r="D3" s="163"/>
      <c r="E3" s="152"/>
      <c r="F3" s="153"/>
      <c r="G3" s="153"/>
      <c r="H3" s="153"/>
      <c r="I3" s="153"/>
      <c r="J3" s="153"/>
      <c r="K3" s="153"/>
      <c r="L3" s="153"/>
      <c r="M3" s="153"/>
      <c r="N3" s="157"/>
      <c r="O3" s="158"/>
      <c r="P3" s="157"/>
      <c r="Q3" s="161"/>
      <c r="R3" s="161"/>
    </row>
    <row r="4" spans="2:18" ht="4.95" customHeight="1" x14ac:dyDescent="0.55000000000000004">
      <c r="B4" s="149"/>
      <c r="C4" s="164"/>
      <c r="D4" s="163"/>
      <c r="E4" s="152"/>
      <c r="F4" s="153"/>
      <c r="G4" s="153"/>
      <c r="H4" s="153"/>
      <c r="I4" s="153"/>
      <c r="J4" s="153"/>
      <c r="K4" s="153"/>
      <c r="L4" s="153"/>
      <c r="M4" s="153"/>
      <c r="N4" s="155" t="s">
        <v>315</v>
      </c>
      <c r="O4" s="156"/>
      <c r="P4" s="166"/>
      <c r="Q4" s="160"/>
      <c r="R4" s="160"/>
    </row>
    <row r="5" spans="2:18" ht="27" customHeight="1" x14ac:dyDescent="0.45">
      <c r="B5" s="149"/>
      <c r="C5" s="168">
        <v>45657</v>
      </c>
      <c r="D5" s="163"/>
      <c r="E5" s="152"/>
      <c r="F5" s="154"/>
      <c r="G5" s="154"/>
      <c r="H5" s="154"/>
      <c r="I5" s="154"/>
      <c r="J5" s="154"/>
      <c r="K5" s="154"/>
      <c r="L5" s="154"/>
      <c r="M5" s="154"/>
      <c r="N5" s="165"/>
      <c r="O5" s="149"/>
      <c r="P5" s="165"/>
      <c r="Q5" s="167"/>
      <c r="R5" s="167"/>
    </row>
    <row r="6" spans="2:18" ht="25.2" customHeight="1" x14ac:dyDescent="0.45">
      <c r="B6" s="136" t="s">
        <v>200</v>
      </c>
      <c r="C6" s="129"/>
      <c r="D6" s="129"/>
      <c r="E6" s="129"/>
      <c r="F6" s="129"/>
      <c r="G6" s="129"/>
      <c r="H6" s="129"/>
      <c r="I6" s="129"/>
      <c r="J6" s="129"/>
      <c r="K6" s="129"/>
      <c r="L6" s="129"/>
      <c r="M6" s="129"/>
      <c r="N6" s="129"/>
      <c r="O6" s="129"/>
      <c r="P6" s="129"/>
      <c r="Q6" s="129"/>
      <c r="R6" s="129"/>
    </row>
    <row r="7" spans="2:18" ht="25.2" customHeight="1" x14ac:dyDescent="0.45">
      <c r="B7" s="136" t="s">
        <v>202</v>
      </c>
      <c r="C7" s="129"/>
      <c r="D7" s="129"/>
      <c r="E7" s="129"/>
      <c r="F7" s="129"/>
      <c r="G7" s="129"/>
      <c r="H7" s="129"/>
      <c r="I7" s="129"/>
      <c r="J7" s="129"/>
      <c r="K7" s="129"/>
      <c r="L7" s="129"/>
      <c r="M7" s="129"/>
      <c r="N7" s="129"/>
      <c r="O7" s="135"/>
      <c r="P7" s="135"/>
      <c r="Q7" s="135"/>
      <c r="R7" s="135"/>
    </row>
    <row r="8" spans="2:18" ht="36.65" customHeight="1" x14ac:dyDescent="0.45">
      <c r="B8" s="139" t="s">
        <v>316</v>
      </c>
      <c r="C8" s="140"/>
      <c r="D8" s="147" t="s">
        <v>317</v>
      </c>
      <c r="E8" s="129"/>
      <c r="F8" s="129"/>
      <c r="G8" s="140"/>
      <c r="H8" s="147" t="s">
        <v>318</v>
      </c>
      <c r="I8" s="129"/>
      <c r="J8" s="140"/>
      <c r="K8" s="147" t="s">
        <v>319</v>
      </c>
      <c r="L8" s="140"/>
      <c r="M8" s="147" t="s">
        <v>320</v>
      </c>
      <c r="N8" s="129"/>
      <c r="O8" s="128" t="s">
        <v>321</v>
      </c>
      <c r="P8" s="129"/>
      <c r="Q8" s="129"/>
      <c r="R8" s="129"/>
    </row>
    <row r="9" spans="2:18" ht="25.2" customHeight="1" x14ac:dyDescent="0.45">
      <c r="B9" s="139"/>
      <c r="C9" s="140"/>
      <c r="D9" s="141"/>
      <c r="E9" s="129"/>
      <c r="F9" s="129"/>
      <c r="G9" s="140"/>
      <c r="H9" s="142"/>
      <c r="I9" s="143"/>
      <c r="J9" s="144"/>
      <c r="K9" s="145"/>
      <c r="L9" s="146"/>
      <c r="M9" s="141"/>
      <c r="N9" s="140"/>
      <c r="O9" s="128"/>
      <c r="P9" s="129"/>
      <c r="Q9" s="129"/>
      <c r="R9" s="129"/>
    </row>
    <row r="10" spans="2:18" x14ac:dyDescent="0.45">
      <c r="B10" s="137"/>
      <c r="C10" s="138"/>
      <c r="D10" s="138"/>
      <c r="E10" s="138"/>
      <c r="F10" s="138"/>
      <c r="G10" s="138"/>
      <c r="H10" s="138"/>
      <c r="I10" s="138"/>
      <c r="J10" s="138"/>
      <c r="K10" s="138"/>
      <c r="L10" s="138"/>
      <c r="M10" s="138"/>
      <c r="N10" s="138"/>
      <c r="O10" s="138"/>
      <c r="P10" s="138"/>
      <c r="Q10" s="138"/>
      <c r="R10" s="138"/>
    </row>
    <row r="11" spans="2:18" ht="25.2" customHeight="1" x14ac:dyDescent="0.45">
      <c r="B11" s="136" t="s">
        <v>203</v>
      </c>
      <c r="C11" s="129"/>
      <c r="D11" s="129"/>
      <c r="E11" s="129"/>
      <c r="F11" s="129"/>
      <c r="G11" s="129"/>
      <c r="H11" s="129"/>
      <c r="I11" s="129"/>
      <c r="J11" s="129"/>
      <c r="K11" s="129"/>
      <c r="L11" s="129"/>
      <c r="M11" s="129"/>
      <c r="N11" s="129"/>
      <c r="O11" s="129"/>
      <c r="P11" s="129"/>
      <c r="Q11" s="129"/>
      <c r="R11" s="129"/>
    </row>
    <row r="12" spans="2:18" ht="25.2" customHeight="1" x14ac:dyDescent="0.45">
      <c r="B12" s="136" t="s">
        <v>204</v>
      </c>
      <c r="C12" s="129"/>
      <c r="D12" s="129"/>
      <c r="E12" s="129"/>
      <c r="F12" s="129"/>
      <c r="G12" s="129"/>
      <c r="H12" s="129"/>
      <c r="I12" s="129"/>
      <c r="J12" s="129"/>
      <c r="K12" s="129"/>
      <c r="L12" s="129"/>
      <c r="M12" s="129"/>
      <c r="N12" s="129"/>
      <c r="O12" s="135"/>
      <c r="P12" s="135"/>
      <c r="Q12" s="135"/>
      <c r="R12" s="135"/>
    </row>
    <row r="13" spans="2:18" ht="25.2" customHeight="1" x14ac:dyDescent="0.45">
      <c r="B13" s="117" t="s">
        <v>322</v>
      </c>
      <c r="C13" s="118"/>
      <c r="D13" s="118"/>
      <c r="E13" s="119"/>
      <c r="F13" s="120" t="s">
        <v>323</v>
      </c>
      <c r="G13" s="118"/>
      <c r="H13" s="118"/>
      <c r="I13" s="118"/>
      <c r="J13" s="119"/>
      <c r="K13" s="120" t="s">
        <v>324</v>
      </c>
      <c r="L13" s="118"/>
      <c r="M13" s="118"/>
      <c r="N13" s="118"/>
      <c r="O13" s="128" t="s">
        <v>325</v>
      </c>
      <c r="P13" s="129"/>
      <c r="Q13" s="129"/>
      <c r="R13" s="129"/>
    </row>
    <row r="14" spans="2:18" ht="25.2" customHeight="1" x14ac:dyDescent="0.45">
      <c r="B14" s="130"/>
      <c r="C14" s="131"/>
      <c r="D14" s="131"/>
      <c r="E14" s="132"/>
      <c r="F14" s="133">
        <f>C2</f>
        <v>45292</v>
      </c>
      <c r="G14" s="131"/>
      <c r="H14" s="131"/>
      <c r="I14" s="131"/>
      <c r="J14" s="132"/>
      <c r="K14" s="133">
        <f>C5</f>
        <v>45657</v>
      </c>
      <c r="L14" s="131"/>
      <c r="M14" s="131"/>
      <c r="N14" s="131"/>
      <c r="O14" s="134"/>
      <c r="P14" s="135"/>
      <c r="Q14" s="135"/>
      <c r="R14" s="135"/>
    </row>
    <row r="15" spans="2:18" ht="25.2" customHeight="1" x14ac:dyDescent="0.45">
      <c r="B15" s="136" t="s">
        <v>205</v>
      </c>
      <c r="C15" s="129"/>
      <c r="D15" s="129"/>
      <c r="E15" s="129"/>
      <c r="F15" s="129"/>
      <c r="G15" s="129"/>
      <c r="H15" s="129"/>
      <c r="I15" s="129"/>
      <c r="J15" s="129"/>
      <c r="K15" s="129"/>
      <c r="L15" s="129"/>
      <c r="M15" s="129"/>
      <c r="N15" s="129"/>
      <c r="O15" s="129"/>
      <c r="P15" s="129"/>
      <c r="Q15" s="129"/>
      <c r="R15" s="129"/>
    </row>
    <row r="16" spans="2:18" ht="25.2" customHeight="1" x14ac:dyDescent="0.45">
      <c r="B16" s="117" t="s">
        <v>327</v>
      </c>
      <c r="C16" s="118"/>
      <c r="D16" s="118"/>
      <c r="E16" s="118"/>
      <c r="F16" s="118"/>
      <c r="G16" s="119"/>
      <c r="H16" s="120" t="s">
        <v>328</v>
      </c>
      <c r="I16" s="118"/>
      <c r="J16" s="118"/>
      <c r="K16" s="118"/>
      <c r="L16" s="118"/>
      <c r="M16" s="121" t="s">
        <v>329</v>
      </c>
      <c r="N16" s="122"/>
      <c r="O16" s="122"/>
      <c r="P16" s="122"/>
      <c r="Q16" s="122"/>
      <c r="R16" s="122"/>
    </row>
    <row r="17" spans="2:18" ht="25.2" customHeight="1" x14ac:dyDescent="0.45">
      <c r="B17" s="123"/>
      <c r="C17" s="124"/>
      <c r="D17" s="124"/>
      <c r="E17" s="124"/>
      <c r="F17" s="124"/>
      <c r="G17" s="125"/>
      <c r="H17" s="126"/>
      <c r="I17" s="127"/>
      <c r="J17" s="127"/>
      <c r="K17" s="127"/>
      <c r="L17" s="127"/>
      <c r="M17" s="128"/>
      <c r="N17" s="129"/>
      <c r="O17" s="129"/>
      <c r="P17" s="129"/>
      <c r="Q17" s="129"/>
      <c r="R17" s="129"/>
    </row>
    <row r="18" spans="2:18" ht="19.95" customHeight="1" x14ac:dyDescent="0.55000000000000004">
      <c r="B18" s="3"/>
      <c r="C18" s="3"/>
      <c r="D18" s="3"/>
      <c r="E18" s="3"/>
      <c r="F18" s="3"/>
      <c r="G18" s="3"/>
      <c r="H18" s="3"/>
      <c r="I18" s="3"/>
      <c r="J18" s="4"/>
      <c r="K18" s="4"/>
      <c r="L18" s="4"/>
      <c r="M18" s="4"/>
      <c r="N18" s="4"/>
      <c r="O18" s="4"/>
      <c r="P18" s="4"/>
      <c r="Q18" s="4"/>
      <c r="R18" s="4"/>
    </row>
  </sheetData>
  <mergeCells count="41">
    <mergeCell ref="B2:B5"/>
    <mergeCell ref="C2:D2"/>
    <mergeCell ref="E2:M5"/>
    <mergeCell ref="N2:O3"/>
    <mergeCell ref="P2:R3"/>
    <mergeCell ref="C3:D4"/>
    <mergeCell ref="N4:O5"/>
    <mergeCell ref="P4:R5"/>
    <mergeCell ref="C5:D5"/>
    <mergeCell ref="B6:R6"/>
    <mergeCell ref="B7:R7"/>
    <mergeCell ref="B8:C8"/>
    <mergeCell ref="D8:G8"/>
    <mergeCell ref="H8:J8"/>
    <mergeCell ref="K8:L8"/>
    <mergeCell ref="M8:N8"/>
    <mergeCell ref="O8:R8"/>
    <mergeCell ref="O9:R9"/>
    <mergeCell ref="B10:R10"/>
    <mergeCell ref="B11:R11"/>
    <mergeCell ref="B12:R12"/>
    <mergeCell ref="B13:E13"/>
    <mergeCell ref="F13:J13"/>
    <mergeCell ref="K13:N13"/>
    <mergeCell ref="O13:R13"/>
    <mergeCell ref="B9:C9"/>
    <mergeCell ref="D9:G9"/>
    <mergeCell ref="H9:J9"/>
    <mergeCell ref="K9:L9"/>
    <mergeCell ref="M9:N9"/>
    <mergeCell ref="B14:E14"/>
    <mergeCell ref="F14:J14"/>
    <mergeCell ref="K14:N14"/>
    <mergeCell ref="O14:R14"/>
    <mergeCell ref="B15:R15"/>
    <mergeCell ref="B16:G16"/>
    <mergeCell ref="H16:L16"/>
    <mergeCell ref="M16:R16"/>
    <mergeCell ref="B17:G17"/>
    <mergeCell ref="H17:L17"/>
    <mergeCell ref="M17:R17"/>
  </mergeCells>
  <phoneticPr fontId="2" type="noConversion"/>
  <dataValidations count="1">
    <dataValidation type="list" allowBlank="1" showInputMessage="1" showErrorMessage="1" sqref="B9:C9 O14:R14" xr:uid="{00000000-0002-0000-0100-000000000000}">
      <formula1>"여,부"</formula1>
    </dataValidation>
  </dataValidations>
  <pageMargins left="0.25" right="0.25" top="0.75" bottom="0.75" header="0.3" footer="0.3"/>
  <pageSetup paperSize="9" scale="84"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AFDD22FD-3037-419D-BA79-EE4DD0A83510}">
          <x14:formula1>
            <xm:f>코드정보!$G$3:$G$7</xm:f>
          </x14:formula1>
          <xm:sqref>K9:L9</xm:sqref>
        </x14:dataValidation>
        <x14:dataValidation type="list" allowBlank="1" showInputMessage="1" showErrorMessage="1" xr:uid="{FAE5EBEA-5A00-4F33-B2F6-81E62C3869A2}">
          <x14:formula1>
            <xm:f>코드정보!$G$8:$G$11</xm:f>
          </x14:formula1>
          <xm:sqref>B17:G17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2:R14"/>
  <sheetViews>
    <sheetView showGridLines="0" view="pageBreakPreview" zoomScale="85" zoomScaleNormal="85" zoomScaleSheetLayoutView="85" workbookViewId="0">
      <selection activeCell="B2" sqref="B2:R2"/>
    </sheetView>
  </sheetViews>
  <sheetFormatPr defaultColWidth="8.640625" defaultRowHeight="17.600000000000001" x14ac:dyDescent="0.55000000000000004"/>
  <cols>
    <col min="1" max="1" width="2" style="19" customWidth="1"/>
    <col min="2" max="2" width="14.140625" style="1" customWidth="1"/>
    <col min="3" max="3" width="10.640625" style="1" customWidth="1"/>
    <col min="4" max="4" width="7.5703125" style="1" customWidth="1"/>
    <col min="5" max="5" width="5.92578125" style="1" customWidth="1"/>
    <col min="6" max="6" width="9.5" style="1" customWidth="1"/>
    <col min="7" max="7" width="5.92578125" style="1" customWidth="1"/>
    <col min="8" max="8" width="7.5703125" style="1" customWidth="1"/>
    <col min="9" max="9" width="6.7109375" style="1" customWidth="1"/>
    <col min="10" max="10" width="13.85546875" style="1" customWidth="1"/>
    <col min="11" max="11" width="11" style="1" customWidth="1"/>
    <col min="12" max="12" width="8.5703125" style="1" customWidth="1"/>
    <col min="13" max="13" width="9.42578125" style="1" customWidth="1"/>
    <col min="14" max="14" width="10.140625" style="1" customWidth="1"/>
    <col min="15" max="15" width="5.92578125" style="1" customWidth="1"/>
    <col min="16" max="16" width="8.140625" style="1" customWidth="1"/>
    <col min="17" max="17" width="5.0703125" style="1" customWidth="1"/>
    <col min="18" max="18" width="10.640625" style="1" customWidth="1"/>
    <col min="19" max="19" width="8.640625" style="1" customWidth="1"/>
    <col min="20" max="16384" width="8.640625" style="1"/>
  </cols>
  <sheetData>
    <row r="2" spans="1:18" ht="25.2" customHeight="1" x14ac:dyDescent="0.55000000000000004">
      <c r="A2" s="19">
        <f>MAX($A$1:A1)+1</f>
        <v>1</v>
      </c>
      <c r="B2" s="185" t="s">
        <v>206</v>
      </c>
      <c r="C2" s="185"/>
      <c r="D2" s="185"/>
      <c r="E2" s="185"/>
      <c r="F2" s="185"/>
      <c r="G2" s="185"/>
      <c r="H2" s="185"/>
      <c r="I2" s="185"/>
      <c r="J2" s="185"/>
      <c r="K2" s="185"/>
      <c r="L2" s="185"/>
      <c r="M2" s="185"/>
      <c r="N2" s="185"/>
      <c r="O2" s="185"/>
      <c r="P2" s="185"/>
      <c r="Q2" s="185"/>
      <c r="R2" s="185"/>
    </row>
    <row r="3" spans="1:18" ht="25.2" customHeight="1" x14ac:dyDescent="0.55000000000000004">
      <c r="B3" s="185" t="s">
        <v>207</v>
      </c>
      <c r="C3" s="185"/>
      <c r="D3" s="185"/>
      <c r="E3" s="185"/>
      <c r="F3" s="185"/>
      <c r="G3" s="185"/>
      <c r="H3" s="185"/>
      <c r="I3" s="185"/>
      <c r="J3" s="185"/>
      <c r="K3" s="185"/>
      <c r="L3" s="185"/>
      <c r="M3" s="185"/>
      <c r="N3" s="185"/>
      <c r="O3" s="185"/>
      <c r="P3" s="185"/>
      <c r="Q3" s="185"/>
      <c r="R3" s="185"/>
    </row>
    <row r="4" spans="1:18" ht="25.2" customHeight="1" x14ac:dyDescent="0.45">
      <c r="B4" s="169" t="s">
        <v>330</v>
      </c>
      <c r="C4" s="170"/>
      <c r="D4" s="170"/>
      <c r="E4" s="170"/>
      <c r="F4" s="170"/>
      <c r="G4" s="170"/>
      <c r="H4" s="170"/>
      <c r="I4" s="171"/>
      <c r="J4" s="180"/>
      <c r="K4" s="131"/>
      <c r="L4" s="131"/>
      <c r="M4" s="131"/>
      <c r="N4" s="131"/>
      <c r="O4" s="131"/>
      <c r="P4" s="131"/>
      <c r="Q4" s="131"/>
      <c r="R4" s="131"/>
    </row>
    <row r="5" spans="1:18" ht="25.2" customHeight="1" x14ac:dyDescent="0.45">
      <c r="B5" s="169" t="s">
        <v>331</v>
      </c>
      <c r="C5" s="170"/>
      <c r="D5" s="170"/>
      <c r="E5" s="170"/>
      <c r="F5" s="170"/>
      <c r="G5" s="170"/>
      <c r="H5" s="170"/>
      <c r="I5" s="171"/>
      <c r="J5" s="172"/>
      <c r="K5" s="173"/>
      <c r="L5" s="173"/>
      <c r="M5" s="173"/>
      <c r="N5" s="173"/>
      <c r="O5" s="173"/>
      <c r="P5" s="173"/>
      <c r="Q5" s="173"/>
      <c r="R5" s="173"/>
    </row>
    <row r="6" spans="1:18" ht="25.2" customHeight="1" x14ac:dyDescent="0.45">
      <c r="B6" s="169" t="s">
        <v>332</v>
      </c>
      <c r="C6" s="170"/>
      <c r="D6" s="170"/>
      <c r="E6" s="170"/>
      <c r="F6" s="170"/>
      <c r="G6" s="170"/>
      <c r="H6" s="170"/>
      <c r="I6" s="171"/>
      <c r="J6" s="180">
        <f>'MNE그룹 정보'!D9</f>
        <v>0</v>
      </c>
      <c r="K6" s="131"/>
      <c r="L6" s="131"/>
      <c r="M6" s="131"/>
      <c r="N6" s="131"/>
      <c r="O6" s="131"/>
      <c r="P6" s="131"/>
      <c r="Q6" s="131"/>
      <c r="R6" s="131"/>
    </row>
    <row r="7" spans="1:18" ht="25.2" customHeight="1" x14ac:dyDescent="0.45">
      <c r="B7" s="169" t="s">
        <v>333</v>
      </c>
      <c r="C7" s="170"/>
      <c r="D7" s="170"/>
      <c r="E7" s="170"/>
      <c r="F7" s="170"/>
      <c r="G7" s="170"/>
      <c r="H7" s="170"/>
      <c r="I7" s="171"/>
      <c r="J7" s="181">
        <f>'MNE그룹 정보'!H9</f>
        <v>0</v>
      </c>
      <c r="K7" s="182"/>
      <c r="L7" s="182"/>
      <c r="M7" s="182"/>
      <c r="N7" s="182"/>
      <c r="O7" s="182"/>
      <c r="P7" s="182"/>
      <c r="Q7" s="182"/>
      <c r="R7" s="182"/>
    </row>
    <row r="8" spans="1:18" ht="34.950000000000003" customHeight="1" x14ac:dyDescent="0.45">
      <c r="B8" s="174" t="s">
        <v>334</v>
      </c>
      <c r="C8" s="131"/>
      <c r="D8" s="131"/>
      <c r="E8" s="131"/>
      <c r="F8" s="131"/>
      <c r="G8" s="131"/>
      <c r="H8" s="131"/>
      <c r="I8" s="175"/>
      <c r="J8" s="183"/>
      <c r="K8" s="184"/>
      <c r="L8" s="184"/>
      <c r="M8" s="184"/>
      <c r="N8" s="184"/>
      <c r="O8" s="184"/>
      <c r="P8" s="184"/>
      <c r="Q8" s="184"/>
      <c r="R8" s="184"/>
    </row>
    <row r="9" spans="1:18" ht="25.2" customHeight="1" x14ac:dyDescent="0.45">
      <c r="B9" s="169" t="s">
        <v>335</v>
      </c>
      <c r="C9" s="170"/>
      <c r="D9" s="170"/>
      <c r="E9" s="170"/>
      <c r="F9" s="170"/>
      <c r="G9" s="170"/>
      <c r="H9" s="170"/>
      <c r="I9" s="171"/>
      <c r="J9" s="172"/>
      <c r="K9" s="173"/>
      <c r="L9" s="173"/>
      <c r="M9" s="173"/>
      <c r="N9" s="173"/>
      <c r="O9" s="173"/>
      <c r="P9" s="173"/>
      <c r="Q9" s="173"/>
      <c r="R9" s="173"/>
    </row>
    <row r="10" spans="1:18" ht="25.2" customHeight="1" x14ac:dyDescent="0.45">
      <c r="B10" s="174" t="s">
        <v>336</v>
      </c>
      <c r="C10" s="131"/>
      <c r="D10" s="131"/>
      <c r="E10" s="131"/>
      <c r="F10" s="131"/>
      <c r="G10" s="131"/>
      <c r="H10" s="131"/>
      <c r="I10" s="175"/>
      <c r="J10" s="172"/>
      <c r="K10" s="173"/>
      <c r="L10" s="173"/>
      <c r="M10" s="173"/>
      <c r="N10" s="173"/>
      <c r="O10" s="173"/>
      <c r="P10" s="173"/>
      <c r="Q10" s="173"/>
      <c r="R10" s="173"/>
    </row>
    <row r="11" spans="1:18" ht="25.2" customHeight="1" x14ac:dyDescent="0.45">
      <c r="B11" s="176" t="s">
        <v>337</v>
      </c>
      <c r="C11" s="177"/>
      <c r="D11" s="177"/>
      <c r="E11" s="177"/>
      <c r="F11" s="177"/>
      <c r="G11" s="177"/>
      <c r="H11" s="177"/>
      <c r="I11" s="178"/>
      <c r="J11" s="179"/>
      <c r="K11" s="177"/>
      <c r="L11" s="177"/>
      <c r="M11" s="177"/>
      <c r="N11" s="177"/>
      <c r="O11" s="177"/>
      <c r="P11" s="177"/>
      <c r="Q11" s="177"/>
      <c r="R11" s="177"/>
    </row>
    <row r="12" spans="1:18" ht="19.95" customHeight="1" x14ac:dyDescent="0.55000000000000004">
      <c r="B12" s="3"/>
      <c r="C12" s="3"/>
      <c r="D12" s="3"/>
      <c r="E12" s="3"/>
      <c r="F12" s="3"/>
      <c r="G12" s="3"/>
      <c r="H12" s="3"/>
      <c r="I12" s="3"/>
      <c r="J12" s="4"/>
      <c r="K12" s="4"/>
      <c r="L12" s="4"/>
      <c r="M12" s="4"/>
      <c r="N12" s="4"/>
      <c r="O12" s="4"/>
      <c r="P12" s="4"/>
      <c r="Q12" s="4"/>
      <c r="R12" s="4"/>
    </row>
    <row r="14" spans="1:18" x14ac:dyDescent="0.55000000000000004">
      <c r="F14" s="7"/>
      <c r="K14" s="7"/>
    </row>
  </sheetData>
  <mergeCells count="18">
    <mergeCell ref="B2:R2"/>
    <mergeCell ref="B3:R3"/>
    <mergeCell ref="B4:I4"/>
    <mergeCell ref="J4:R4"/>
    <mergeCell ref="B5:I5"/>
    <mergeCell ref="J5:R5"/>
    <mergeCell ref="B6:I6"/>
    <mergeCell ref="J6:R6"/>
    <mergeCell ref="B7:I7"/>
    <mergeCell ref="J7:R7"/>
    <mergeCell ref="B8:I8"/>
    <mergeCell ref="J8:R8"/>
    <mergeCell ref="B9:I9"/>
    <mergeCell ref="J9:R9"/>
    <mergeCell ref="B10:I10"/>
    <mergeCell ref="J10:R10"/>
    <mergeCell ref="B11:I11"/>
    <mergeCell ref="J11:R11"/>
  </mergeCells>
  <phoneticPr fontId="2" type="noConversion"/>
  <pageMargins left="0.59055118110236227" right="0.59055118110236227" top="0.59055118110236227" bottom="0.59055118110236227" header="0.31496062992125978" footer="0.31496062992125978"/>
  <pageSetup paperSize="9" scale="80" fitToHeight="0"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19DEA70-25CD-494E-B350-05DDB810EAB9}">
          <x14:formula1>
            <xm:f>코드정보!$G$12:$G$16</xm:f>
          </x14:formula1>
          <xm:sqref>J5:R5</xm:sqref>
        </x14:dataValidation>
        <x14:dataValidation type="list" allowBlank="1" showInputMessage="1" showErrorMessage="1" xr:uid="{C012734A-EE6D-45E5-9F09-8440B854E639}">
          <x14:formula1>
            <xm:f>코드정보!$G$17:$G$34</xm:f>
          </x14:formula1>
          <xm:sqref>J9:R9</xm:sqref>
        </x14:dataValidation>
        <x14:dataValidation type="list" allowBlank="1" showInputMessage="1" showErrorMessage="1" xr:uid="{F6BBA456-4395-46F2-B757-6C9300B393E2}">
          <x14:formula1>
            <xm:f>코드정보!$G$35:$G$40</xm:f>
          </x14:formula1>
          <xm:sqref>J10:R10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pageSetUpPr fitToPage="1"/>
  </sheetPr>
  <dimension ref="A2:R20"/>
  <sheetViews>
    <sheetView showGridLines="0" view="pageBreakPreview" topLeftCell="A15" zoomScale="85" zoomScaleNormal="85" zoomScaleSheetLayoutView="85" workbookViewId="0">
      <selection activeCell="B2" sqref="B2:R2"/>
    </sheetView>
  </sheetViews>
  <sheetFormatPr defaultColWidth="8.640625" defaultRowHeight="17.600000000000001" x14ac:dyDescent="0.55000000000000004"/>
  <cols>
    <col min="1" max="1" width="2" style="19" customWidth="1"/>
    <col min="2" max="2" width="14.140625" style="1" customWidth="1"/>
    <col min="3" max="3" width="10.640625" style="1" customWidth="1"/>
    <col min="4" max="4" width="7.5703125" style="1" customWidth="1"/>
    <col min="5" max="5" width="5.92578125" style="1" customWidth="1"/>
    <col min="6" max="6" width="9.5" style="1" customWidth="1"/>
    <col min="7" max="7" width="5.92578125" style="1" customWidth="1"/>
    <col min="8" max="8" width="7.5703125" style="1" customWidth="1"/>
    <col min="9" max="9" width="6.7109375" style="1" customWidth="1"/>
    <col min="10" max="10" width="13.85546875" style="1" customWidth="1"/>
    <col min="11" max="11" width="11" style="1" customWidth="1"/>
    <col min="12" max="12" width="8.5703125" style="1" customWidth="1"/>
    <col min="13" max="13" width="9.42578125" style="1" customWidth="1"/>
    <col min="14" max="14" width="10.140625" style="1" customWidth="1"/>
    <col min="15" max="15" width="5.92578125" style="1" customWidth="1"/>
    <col min="16" max="16" width="8.140625" style="1" customWidth="1"/>
    <col min="17" max="17" width="5.0703125" style="1" customWidth="1"/>
    <col min="18" max="18" width="10.640625" style="1" customWidth="1"/>
    <col min="19" max="19" width="8.640625" style="1" customWidth="1"/>
    <col min="20" max="16384" width="8.640625" style="1"/>
  </cols>
  <sheetData>
    <row r="2" spans="1:18" ht="25.2" customHeight="1" x14ac:dyDescent="0.45">
      <c r="A2" s="19">
        <f>MAX($A$1:A1)+1</f>
        <v>1</v>
      </c>
      <c r="B2" s="213" t="s">
        <v>209</v>
      </c>
      <c r="C2" s="135"/>
      <c r="D2" s="135"/>
      <c r="E2" s="135"/>
      <c r="F2" s="135"/>
      <c r="G2" s="135"/>
      <c r="H2" s="135"/>
      <c r="I2" s="135"/>
      <c r="J2" s="135"/>
      <c r="K2" s="135"/>
      <c r="L2" s="135"/>
      <c r="M2" s="135"/>
      <c r="N2" s="135"/>
      <c r="O2" s="135"/>
      <c r="P2" s="135"/>
      <c r="Q2" s="135"/>
      <c r="R2" s="135"/>
    </row>
    <row r="3" spans="1:18" ht="25.2" customHeight="1" x14ac:dyDescent="0.45">
      <c r="B3" s="213" t="s">
        <v>211</v>
      </c>
      <c r="C3" s="135"/>
      <c r="D3" s="135"/>
      <c r="E3" s="135"/>
      <c r="F3" s="135"/>
      <c r="G3" s="135"/>
      <c r="H3" s="135"/>
      <c r="I3" s="135"/>
      <c r="J3" s="135"/>
      <c r="K3" s="135"/>
      <c r="L3" s="135"/>
      <c r="M3" s="135"/>
      <c r="N3" s="135"/>
      <c r="O3" s="135"/>
      <c r="P3" s="135"/>
      <c r="Q3" s="135"/>
      <c r="R3" s="135"/>
    </row>
    <row r="4" spans="1:18" ht="25.2" customHeight="1" x14ac:dyDescent="0.45">
      <c r="B4" s="186" t="s">
        <v>338</v>
      </c>
      <c r="C4" s="135"/>
      <c r="D4" s="214" t="s">
        <v>339</v>
      </c>
      <c r="E4" s="129"/>
      <c r="F4" s="129"/>
      <c r="G4" s="129"/>
      <c r="H4" s="129"/>
      <c r="I4" s="129"/>
      <c r="J4" s="129"/>
      <c r="K4" s="129"/>
      <c r="L4" s="129"/>
      <c r="M4" s="129"/>
      <c r="N4" s="140"/>
      <c r="O4" s="202" t="s">
        <v>326</v>
      </c>
      <c r="P4" s="135"/>
      <c r="Q4" s="135"/>
      <c r="R4" s="135"/>
    </row>
    <row r="5" spans="1:18" ht="25.2" customHeight="1" x14ac:dyDescent="0.45">
      <c r="B5" s="186" t="s">
        <v>340</v>
      </c>
      <c r="C5" s="187"/>
      <c r="D5" s="200" t="s">
        <v>341</v>
      </c>
      <c r="E5" s="201"/>
      <c r="F5" s="201"/>
      <c r="G5" s="201"/>
      <c r="H5" s="201"/>
      <c r="I5" s="201"/>
      <c r="J5" s="201"/>
      <c r="K5" s="201"/>
      <c r="L5" s="201"/>
      <c r="M5" s="201"/>
      <c r="N5" s="207"/>
      <c r="O5" s="202"/>
      <c r="P5" s="135"/>
      <c r="Q5" s="135"/>
      <c r="R5" s="135"/>
    </row>
    <row r="6" spans="1:18" ht="25.2" customHeight="1" x14ac:dyDescent="0.45">
      <c r="B6" s="122"/>
      <c r="C6" s="190"/>
      <c r="D6" s="200" t="s">
        <v>342</v>
      </c>
      <c r="E6" s="201"/>
      <c r="F6" s="201"/>
      <c r="G6" s="201"/>
      <c r="H6" s="201"/>
      <c r="I6" s="201"/>
      <c r="J6" s="201"/>
      <c r="K6" s="201"/>
      <c r="L6" s="201"/>
      <c r="M6" s="201"/>
      <c r="N6" s="207"/>
      <c r="O6" s="211"/>
      <c r="P6" s="212"/>
      <c r="Q6" s="212"/>
      <c r="R6" s="212"/>
    </row>
    <row r="7" spans="1:18" ht="25.2" customHeight="1" x14ac:dyDescent="0.45">
      <c r="B7" s="186" t="s">
        <v>343</v>
      </c>
      <c r="C7" s="187"/>
      <c r="D7" s="200" t="s">
        <v>344</v>
      </c>
      <c r="E7" s="201"/>
      <c r="F7" s="201"/>
      <c r="G7" s="201"/>
      <c r="H7" s="201"/>
      <c r="I7" s="201"/>
      <c r="J7" s="201"/>
      <c r="K7" s="201"/>
      <c r="L7" s="201"/>
      <c r="M7" s="201"/>
      <c r="N7" s="207"/>
      <c r="O7" s="202"/>
      <c r="P7" s="135"/>
      <c r="Q7" s="135"/>
      <c r="R7" s="135"/>
    </row>
    <row r="8" spans="1:18" ht="25.2" customHeight="1" x14ac:dyDescent="0.45">
      <c r="B8" s="188"/>
      <c r="C8" s="189"/>
      <c r="D8" s="200" t="s">
        <v>345</v>
      </c>
      <c r="E8" s="201"/>
      <c r="F8" s="201"/>
      <c r="G8" s="201"/>
      <c r="H8" s="201"/>
      <c r="I8" s="201"/>
      <c r="J8" s="201"/>
      <c r="K8" s="201"/>
      <c r="L8" s="201"/>
      <c r="M8" s="201"/>
      <c r="N8" s="207"/>
      <c r="O8" s="208"/>
      <c r="P8" s="198"/>
      <c r="Q8" s="198"/>
      <c r="R8" s="198"/>
    </row>
    <row r="9" spans="1:18" ht="25.2" customHeight="1" x14ac:dyDescent="0.45">
      <c r="B9" s="188"/>
      <c r="C9" s="189"/>
      <c r="D9" s="200" t="s">
        <v>346</v>
      </c>
      <c r="E9" s="201"/>
      <c r="F9" s="201"/>
      <c r="G9" s="201"/>
      <c r="H9" s="201"/>
      <c r="I9" s="201"/>
      <c r="J9" s="201"/>
      <c r="K9" s="201"/>
      <c r="L9" s="201"/>
      <c r="M9" s="201"/>
      <c r="N9" s="207"/>
      <c r="O9" s="209"/>
      <c r="P9" s="210"/>
      <c r="Q9" s="210"/>
      <c r="R9" s="210"/>
    </row>
    <row r="10" spans="1:18" ht="25.2" customHeight="1" x14ac:dyDescent="0.45">
      <c r="B10" s="122"/>
      <c r="C10" s="190"/>
      <c r="D10" s="200" t="s">
        <v>347</v>
      </c>
      <c r="E10" s="201"/>
      <c r="F10" s="201"/>
      <c r="G10" s="201"/>
      <c r="H10" s="201"/>
      <c r="I10" s="201"/>
      <c r="J10" s="201"/>
      <c r="K10" s="201"/>
      <c r="L10" s="201"/>
      <c r="M10" s="201"/>
      <c r="N10" s="207"/>
      <c r="O10" s="211"/>
      <c r="P10" s="212"/>
      <c r="Q10" s="212"/>
      <c r="R10" s="212"/>
    </row>
    <row r="11" spans="1:18" ht="25.2" customHeight="1" x14ac:dyDescent="0.45">
      <c r="B11" s="186" t="s">
        <v>348</v>
      </c>
      <c r="C11" s="187"/>
      <c r="D11" s="200" t="s">
        <v>349</v>
      </c>
      <c r="E11" s="201"/>
      <c r="F11" s="201"/>
      <c r="G11" s="201"/>
      <c r="H11" s="201"/>
      <c r="I11" s="201"/>
      <c r="J11" s="201"/>
      <c r="K11" s="201"/>
      <c r="L11" s="201"/>
      <c r="M11" s="201"/>
      <c r="N11" s="201"/>
      <c r="O11" s="134"/>
      <c r="P11" s="202"/>
      <c r="Q11" s="202"/>
      <c r="R11" s="202"/>
    </row>
    <row r="12" spans="1:18" ht="25.2" customHeight="1" x14ac:dyDescent="0.45">
      <c r="B12" s="188"/>
      <c r="C12" s="189"/>
      <c r="D12" s="200" t="s">
        <v>350</v>
      </c>
      <c r="E12" s="206"/>
      <c r="F12" s="206"/>
      <c r="G12" s="206"/>
      <c r="H12" s="206"/>
      <c r="I12" s="206"/>
      <c r="J12" s="206"/>
      <c r="K12" s="206"/>
      <c r="L12" s="206"/>
      <c r="M12" s="206"/>
      <c r="N12" s="201"/>
      <c r="O12" s="203"/>
      <c r="P12" s="204"/>
      <c r="Q12" s="204"/>
      <c r="R12" s="204"/>
    </row>
    <row r="13" spans="1:18" ht="25.2" customHeight="1" x14ac:dyDescent="0.45">
      <c r="B13" s="188"/>
      <c r="C13" s="189"/>
      <c r="D13" s="200" t="s">
        <v>351</v>
      </c>
      <c r="E13" s="206"/>
      <c r="F13" s="206"/>
      <c r="G13" s="206"/>
      <c r="H13" s="206"/>
      <c r="I13" s="206"/>
      <c r="J13" s="206"/>
      <c r="K13" s="206"/>
      <c r="L13" s="206"/>
      <c r="M13" s="206"/>
      <c r="N13" s="201"/>
      <c r="O13" s="203"/>
      <c r="P13" s="204"/>
      <c r="Q13" s="204"/>
      <c r="R13" s="204"/>
    </row>
    <row r="14" spans="1:18" ht="25.2" customHeight="1" x14ac:dyDescent="0.45">
      <c r="B14" s="122"/>
      <c r="C14" s="190"/>
      <c r="D14" s="200" t="s">
        <v>352</v>
      </c>
      <c r="E14" s="201"/>
      <c r="F14" s="201"/>
      <c r="G14" s="201"/>
      <c r="H14" s="201"/>
      <c r="I14" s="201"/>
      <c r="J14" s="201"/>
      <c r="K14" s="201"/>
      <c r="L14" s="201"/>
      <c r="M14" s="201"/>
      <c r="N14" s="201"/>
      <c r="O14" s="121"/>
      <c r="P14" s="205"/>
      <c r="Q14" s="205"/>
      <c r="R14" s="205"/>
    </row>
    <row r="15" spans="1:18" ht="25.2" customHeight="1" x14ac:dyDescent="0.45">
      <c r="B15" s="186" t="s">
        <v>353</v>
      </c>
      <c r="C15" s="187"/>
      <c r="D15" s="186" t="s">
        <v>354</v>
      </c>
      <c r="E15" s="135"/>
      <c r="F15" s="135"/>
      <c r="G15" s="135"/>
      <c r="H15" s="135"/>
      <c r="I15" s="135"/>
      <c r="J15" s="135"/>
      <c r="K15" s="135"/>
      <c r="L15" s="135"/>
      <c r="M15" s="135"/>
      <c r="N15" s="187"/>
      <c r="O15" s="195"/>
      <c r="P15" s="196"/>
      <c r="Q15" s="196"/>
      <c r="R15" s="196"/>
    </row>
    <row r="16" spans="1:18" ht="45" customHeight="1" x14ac:dyDescent="0.45">
      <c r="B16" s="188"/>
      <c r="C16" s="189"/>
      <c r="D16" s="186" t="s">
        <v>355</v>
      </c>
      <c r="E16" s="135"/>
      <c r="F16" s="135"/>
      <c r="G16" s="135"/>
      <c r="H16" s="135"/>
      <c r="I16" s="135"/>
      <c r="J16" s="135"/>
      <c r="K16" s="135"/>
      <c r="L16" s="135"/>
      <c r="M16" s="135"/>
      <c r="N16" s="187"/>
      <c r="O16" s="197"/>
      <c r="P16" s="198"/>
      <c r="Q16" s="198"/>
      <c r="R16" s="198"/>
    </row>
    <row r="17" spans="2:18" ht="45" customHeight="1" x14ac:dyDescent="0.45">
      <c r="B17" s="122"/>
      <c r="C17" s="190"/>
      <c r="D17" s="199" t="s">
        <v>356</v>
      </c>
      <c r="E17" s="129"/>
      <c r="F17" s="129"/>
      <c r="G17" s="129"/>
      <c r="H17" s="129"/>
      <c r="I17" s="129"/>
      <c r="J17" s="129"/>
      <c r="K17" s="129"/>
      <c r="L17" s="129"/>
      <c r="M17" s="129"/>
      <c r="N17" s="140"/>
      <c r="O17" s="197"/>
      <c r="P17" s="198"/>
      <c r="Q17" s="198"/>
      <c r="R17" s="198"/>
    </row>
    <row r="18" spans="2:18" ht="25.2" customHeight="1" x14ac:dyDescent="0.45">
      <c r="B18" s="186" t="s">
        <v>357</v>
      </c>
      <c r="C18" s="187"/>
      <c r="D18" s="191" t="s">
        <v>358</v>
      </c>
      <c r="E18" s="135"/>
      <c r="F18" s="135"/>
      <c r="G18" s="135"/>
      <c r="H18" s="135"/>
      <c r="I18" s="135"/>
      <c r="J18" s="135"/>
      <c r="K18" s="135"/>
      <c r="L18" s="135"/>
      <c r="M18" s="135"/>
      <c r="N18" s="187"/>
      <c r="O18" s="134" t="s">
        <v>326</v>
      </c>
      <c r="P18" s="135"/>
      <c r="Q18" s="135"/>
      <c r="R18" s="135"/>
    </row>
    <row r="19" spans="2:18" ht="60" customHeight="1" x14ac:dyDescent="0.45">
      <c r="B19" s="188"/>
      <c r="C19" s="189"/>
      <c r="D19" s="191" t="s">
        <v>359</v>
      </c>
      <c r="E19" s="135"/>
      <c r="F19" s="135"/>
      <c r="G19" s="135"/>
      <c r="H19" s="135"/>
      <c r="I19" s="135"/>
      <c r="J19" s="135"/>
      <c r="K19" s="135"/>
      <c r="L19" s="135"/>
      <c r="M19" s="135"/>
      <c r="N19" s="187"/>
      <c r="O19" s="192"/>
      <c r="P19" s="193"/>
      <c r="Q19" s="193"/>
      <c r="R19" s="193"/>
    </row>
    <row r="20" spans="2:18" ht="45" customHeight="1" x14ac:dyDescent="0.45">
      <c r="B20" s="122"/>
      <c r="C20" s="190"/>
      <c r="D20" s="194" t="s">
        <v>360</v>
      </c>
      <c r="E20" s="129"/>
      <c r="F20" s="129"/>
      <c r="G20" s="129"/>
      <c r="H20" s="129"/>
      <c r="I20" s="129"/>
      <c r="J20" s="129"/>
      <c r="K20" s="129"/>
      <c r="L20" s="129"/>
      <c r="M20" s="129"/>
      <c r="N20" s="140"/>
      <c r="O20" s="128"/>
      <c r="P20" s="129"/>
      <c r="Q20" s="129"/>
      <c r="R20" s="129"/>
    </row>
  </sheetData>
  <mergeCells count="39">
    <mergeCell ref="B2:R2"/>
    <mergeCell ref="B3:R3"/>
    <mergeCell ref="B4:C4"/>
    <mergeCell ref="D4:N4"/>
    <mergeCell ref="O4:R4"/>
    <mergeCell ref="B5:C6"/>
    <mergeCell ref="D5:N5"/>
    <mergeCell ref="O5:R5"/>
    <mergeCell ref="D6:N6"/>
    <mergeCell ref="O6:R6"/>
    <mergeCell ref="B7:C10"/>
    <mergeCell ref="D7:N7"/>
    <mergeCell ref="O7:R7"/>
    <mergeCell ref="D8:N8"/>
    <mergeCell ref="O8:R8"/>
    <mergeCell ref="D9:N9"/>
    <mergeCell ref="O9:R9"/>
    <mergeCell ref="D10:N10"/>
    <mergeCell ref="O10:R10"/>
    <mergeCell ref="B11:C14"/>
    <mergeCell ref="D11:N11"/>
    <mergeCell ref="O11:R14"/>
    <mergeCell ref="D12:N12"/>
    <mergeCell ref="D13:N13"/>
    <mergeCell ref="D14:N14"/>
    <mergeCell ref="B15:C17"/>
    <mergeCell ref="D15:N15"/>
    <mergeCell ref="O15:R15"/>
    <mergeCell ref="D16:N16"/>
    <mergeCell ref="O16:R16"/>
    <mergeCell ref="D17:N17"/>
    <mergeCell ref="O17:R17"/>
    <mergeCell ref="B18:C20"/>
    <mergeCell ref="D18:N18"/>
    <mergeCell ref="O18:R18"/>
    <mergeCell ref="D19:N19"/>
    <mergeCell ref="O19:R19"/>
    <mergeCell ref="D20:N20"/>
    <mergeCell ref="O20:R20"/>
  </mergeCells>
  <phoneticPr fontId="2" type="noConversion"/>
  <dataValidations count="1">
    <dataValidation type="list" allowBlank="1" showInputMessage="1" showErrorMessage="1" sqref="O4:R4 O18:R18 O20:R20" xr:uid="{00000000-0002-0000-0300-000000000000}">
      <formula1>"여,부"</formula1>
    </dataValidation>
  </dataValidations>
  <pageMargins left="0.59055118110236227" right="0.59055118110236227" top="0.59055118110236227" bottom="0.59055118110236227" header="0.31496062992125978" footer="0.31496062992125978"/>
  <pageSetup paperSize="9" scale="80" fitToHeight="0"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A4539CE-6A4C-42E5-9EC1-DAD7D95F8AEE}">
          <x14:formula1>
            <xm:f>코드정보!$G$41:$G$45</xm:f>
          </x14:formula1>
          <xm:sqref>O6:R6</xm:sqref>
        </x14:dataValidation>
        <x14:dataValidation type="list" allowBlank="1" showInputMessage="1" showErrorMessage="1" xr:uid="{487D7C97-05B3-4567-A357-4F50DC37BBB7}">
          <x14:formula1>
            <xm:f>코드정보!$G$46:$G$63</xm:f>
          </x14:formula1>
          <xm:sqref>O10:R10</xm:sqref>
        </x14:dataValidation>
        <x14:dataValidation type="list" allowBlank="1" showInputMessage="1" showErrorMessage="1" xr:uid="{92FA552A-A4AE-4370-BA75-274DA928F5DC}">
          <x14:formula1>
            <xm:f>코드정보!$G$70:$G$72</xm:f>
          </x14:formula1>
          <xm:sqref>O15:R15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pageSetUpPr fitToPage="1"/>
  </sheetPr>
  <dimension ref="A2:R15"/>
  <sheetViews>
    <sheetView showGridLines="0" view="pageBreakPreview" zoomScale="85" zoomScaleNormal="85" zoomScaleSheetLayoutView="85" workbookViewId="0">
      <selection activeCell="B2" sqref="B2:R2"/>
    </sheetView>
  </sheetViews>
  <sheetFormatPr defaultColWidth="8.640625" defaultRowHeight="17.600000000000001" x14ac:dyDescent="0.55000000000000004"/>
  <cols>
    <col min="1" max="1" width="2" style="19" customWidth="1"/>
    <col min="2" max="2" width="14.140625" style="1" customWidth="1"/>
    <col min="3" max="3" width="10.640625" style="1" customWidth="1"/>
    <col min="4" max="4" width="7.5703125" style="1" customWidth="1"/>
    <col min="5" max="5" width="5.92578125" style="1" customWidth="1"/>
    <col min="6" max="6" width="9.5" style="1" customWidth="1"/>
    <col min="7" max="7" width="5.92578125" style="1" customWidth="1"/>
    <col min="8" max="8" width="7.5703125" style="1" customWidth="1"/>
    <col min="9" max="9" width="6.7109375" style="1" customWidth="1"/>
    <col min="10" max="10" width="13.85546875" style="1" customWidth="1"/>
    <col min="11" max="11" width="11" style="1" customWidth="1"/>
    <col min="12" max="12" width="8.5703125" style="1" customWidth="1"/>
    <col min="13" max="13" width="9.42578125" style="1" customWidth="1"/>
    <col min="14" max="14" width="10.140625" style="1" customWidth="1"/>
    <col min="15" max="15" width="5.92578125" style="1" customWidth="1"/>
    <col min="16" max="16" width="8.140625" style="1" customWidth="1"/>
    <col min="17" max="17" width="5.0703125" style="1" customWidth="1"/>
    <col min="18" max="18" width="10.640625" style="1" customWidth="1"/>
    <col min="19" max="19" width="8.640625" style="1" customWidth="1"/>
    <col min="20" max="16384" width="8.640625" style="1"/>
  </cols>
  <sheetData>
    <row r="2" spans="1:18" ht="27" customHeight="1" x14ac:dyDescent="0.45">
      <c r="A2" s="19">
        <f>MAX($A$1:A1)+1</f>
        <v>1</v>
      </c>
      <c r="B2" s="136" t="s">
        <v>212</v>
      </c>
      <c r="C2" s="129"/>
      <c r="D2" s="129"/>
      <c r="E2" s="129"/>
      <c r="F2" s="129"/>
      <c r="G2" s="129"/>
      <c r="H2" s="129"/>
      <c r="I2" s="129"/>
      <c r="J2" s="129"/>
      <c r="K2" s="129"/>
      <c r="L2" s="129"/>
      <c r="M2" s="129"/>
      <c r="N2" s="129"/>
      <c r="O2" s="135"/>
      <c r="P2" s="135"/>
      <c r="Q2" s="135"/>
      <c r="R2" s="135"/>
    </row>
    <row r="3" spans="1:18" ht="27" customHeight="1" x14ac:dyDescent="0.45">
      <c r="B3" s="218" t="s">
        <v>361</v>
      </c>
      <c r="C3" s="122"/>
      <c r="D3" s="122"/>
      <c r="E3" s="122"/>
      <c r="F3" s="122"/>
      <c r="G3" s="122"/>
      <c r="H3" s="122"/>
      <c r="I3" s="122"/>
      <c r="J3" s="122"/>
      <c r="K3" s="122"/>
      <c r="L3" s="122"/>
      <c r="M3" s="122"/>
      <c r="N3" s="122"/>
      <c r="O3" s="134" t="s">
        <v>326</v>
      </c>
      <c r="P3" s="135"/>
      <c r="Q3" s="135"/>
      <c r="R3" s="135"/>
    </row>
    <row r="4" spans="1:18" ht="27" customHeight="1" x14ac:dyDescent="0.45">
      <c r="B4" s="215" t="s">
        <v>362</v>
      </c>
      <c r="C4" s="129"/>
      <c r="D4" s="129"/>
      <c r="E4" s="129"/>
      <c r="F4" s="129"/>
      <c r="G4" s="129"/>
      <c r="H4" s="129"/>
      <c r="I4" s="129"/>
      <c r="J4" s="129"/>
      <c r="K4" s="129"/>
      <c r="L4" s="129"/>
      <c r="M4" s="129"/>
      <c r="N4" s="129"/>
      <c r="O4" s="128"/>
      <c r="P4" s="129"/>
      <c r="Q4" s="129"/>
      <c r="R4" s="129"/>
    </row>
    <row r="5" spans="1:18" ht="27" customHeight="1" x14ac:dyDescent="0.45">
      <c r="B5" s="215" t="s">
        <v>363</v>
      </c>
      <c r="C5" s="129"/>
      <c r="D5" s="129"/>
      <c r="E5" s="129"/>
      <c r="F5" s="129"/>
      <c r="G5" s="129"/>
      <c r="H5" s="129"/>
      <c r="I5" s="129"/>
      <c r="J5" s="129"/>
      <c r="K5" s="129"/>
      <c r="L5" s="129"/>
      <c r="M5" s="129"/>
      <c r="N5" s="129"/>
      <c r="O5" s="216"/>
      <c r="P5" s="217"/>
      <c r="Q5" s="217"/>
      <c r="R5" s="217"/>
    </row>
    <row r="6" spans="1:18" x14ac:dyDescent="0.55000000000000004">
      <c r="C6" s="7"/>
    </row>
    <row r="15" spans="1:18" x14ac:dyDescent="0.55000000000000004">
      <c r="F15" s="7"/>
      <c r="K15" s="7"/>
    </row>
  </sheetData>
  <mergeCells count="7">
    <mergeCell ref="B5:N5"/>
    <mergeCell ref="O5:R5"/>
    <mergeCell ref="B2:R2"/>
    <mergeCell ref="B3:N3"/>
    <mergeCell ref="O3:R3"/>
    <mergeCell ref="B4:N4"/>
    <mergeCell ref="O4:R4"/>
  </mergeCells>
  <phoneticPr fontId="2" type="noConversion"/>
  <dataValidations count="1">
    <dataValidation type="list" allowBlank="1" showInputMessage="1" showErrorMessage="1" sqref="O3:R3" xr:uid="{00000000-0002-0000-0500-000000000000}">
      <formula1>"여,부"</formula1>
    </dataValidation>
  </dataValidations>
  <pageMargins left="0.59055118110236227" right="0.59055118110236227" top="0.59055118110236227" bottom="0.59055118110236227" header="0.31496062992125978" footer="0.31496062992125978"/>
  <pageSetup paperSize="9" scale="80" fitToHeight="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251B884F-AF44-4206-8D87-ED1DFF242983}">
          <x14:formula1>
            <xm:f>코드정보!$G$73:$G$80</xm:f>
          </x14:formula1>
          <xm:sqref>O5:R5</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2:R15"/>
  <sheetViews>
    <sheetView showGridLines="0" view="pageBreakPreview" zoomScale="85" zoomScaleNormal="85" zoomScaleSheetLayoutView="85" workbookViewId="0">
      <selection activeCell="J5" sqref="J5:L5"/>
    </sheetView>
  </sheetViews>
  <sheetFormatPr defaultColWidth="8.640625" defaultRowHeight="17.600000000000001" x14ac:dyDescent="0.55000000000000004"/>
  <cols>
    <col min="1" max="1" width="2" style="19" customWidth="1"/>
    <col min="2" max="2" width="14.140625" style="1" customWidth="1"/>
    <col min="3" max="3" width="10.640625" style="1" customWidth="1"/>
    <col min="4" max="4" width="7.5703125" style="1" customWidth="1"/>
    <col min="5" max="5" width="5.92578125" style="1" customWidth="1"/>
    <col min="6" max="6" width="9.5" style="1" customWidth="1"/>
    <col min="7" max="7" width="5.92578125" style="1" customWidth="1"/>
    <col min="8" max="8" width="7.5703125" style="1" customWidth="1"/>
    <col min="9" max="9" width="6.7109375" style="1" customWidth="1"/>
    <col min="10" max="10" width="11" style="1" customWidth="1"/>
    <col min="11" max="11" width="8.5703125" style="1" customWidth="1"/>
    <col min="12" max="12" width="9.42578125" style="1" customWidth="1"/>
    <col min="13" max="13" width="10.140625" style="1" customWidth="1"/>
    <col min="14" max="14" width="5.92578125" style="1" customWidth="1"/>
    <col min="15" max="15" width="8.640625" style="1" customWidth="1"/>
    <col min="16" max="16384" width="8.640625" style="1"/>
  </cols>
  <sheetData>
    <row r="2" spans="1:18" ht="27" customHeight="1" x14ac:dyDescent="0.55000000000000004">
      <c r="B2" s="230" t="s">
        <v>364</v>
      </c>
      <c r="C2" s="230"/>
      <c r="D2" s="230"/>
      <c r="E2" s="230"/>
      <c r="F2" s="230"/>
      <c r="G2" s="230"/>
      <c r="H2" s="230"/>
      <c r="I2" s="230"/>
      <c r="J2" s="230"/>
      <c r="K2" s="230"/>
      <c r="L2" s="230"/>
      <c r="M2" s="230"/>
      <c r="N2" s="230"/>
      <c r="O2" s="230"/>
      <c r="P2" s="230"/>
      <c r="Q2" s="230"/>
      <c r="R2" s="230"/>
    </row>
    <row r="3" spans="1:18" ht="27" customHeight="1" x14ac:dyDescent="0.55000000000000004">
      <c r="B3" s="28" t="s">
        <v>365</v>
      </c>
      <c r="C3" s="231" t="s">
        <v>789</v>
      </c>
      <c r="D3" s="231"/>
      <c r="E3" s="231"/>
      <c r="F3" s="231"/>
      <c r="G3" s="231"/>
      <c r="H3" s="231"/>
      <c r="I3" s="231"/>
      <c r="J3" s="231"/>
      <c r="K3" s="231"/>
      <c r="L3" s="231"/>
      <c r="M3" s="231"/>
      <c r="N3" s="231"/>
      <c r="O3" s="231"/>
      <c r="P3" s="231"/>
      <c r="Q3" s="232"/>
      <c r="R3" s="232"/>
    </row>
    <row r="4" spans="1:18" ht="4.95" customHeight="1" x14ac:dyDescent="0.55000000000000004">
      <c r="B4" s="25"/>
      <c r="C4" s="25"/>
      <c r="D4" s="25"/>
      <c r="E4" s="25"/>
      <c r="F4" s="25"/>
      <c r="G4" s="25"/>
      <c r="H4" s="25"/>
      <c r="I4" s="25"/>
      <c r="J4" s="25"/>
      <c r="K4" s="25"/>
      <c r="L4" s="25"/>
      <c r="M4" s="25"/>
      <c r="N4" s="25"/>
      <c r="O4" s="25"/>
      <c r="P4" s="25"/>
      <c r="Q4" s="25"/>
      <c r="R4" s="25"/>
    </row>
    <row r="5" spans="1:18" ht="100.2" customHeight="1" x14ac:dyDescent="0.45">
      <c r="A5" s="51" t="s">
        <v>813</v>
      </c>
      <c r="B5" s="233" t="s">
        <v>790</v>
      </c>
      <c r="C5" s="140"/>
      <c r="D5" s="220" t="s">
        <v>366</v>
      </c>
      <c r="E5" s="140"/>
      <c r="F5" s="234" t="s">
        <v>367</v>
      </c>
      <c r="G5" s="140"/>
      <c r="H5" s="234" t="s">
        <v>368</v>
      </c>
      <c r="I5" s="140"/>
      <c r="J5" s="235" t="s">
        <v>369</v>
      </c>
      <c r="K5" s="236"/>
      <c r="L5" s="233"/>
      <c r="M5" s="235" t="s">
        <v>370</v>
      </c>
      <c r="N5" s="236"/>
      <c r="O5" s="233"/>
      <c r="P5" s="235" t="s">
        <v>791</v>
      </c>
      <c r="Q5" s="236"/>
      <c r="R5" s="236"/>
    </row>
    <row r="6" spans="1:18" ht="27" customHeight="1" x14ac:dyDescent="0.45">
      <c r="B6" s="222"/>
      <c r="C6" s="223"/>
      <c r="D6" s="224"/>
      <c r="E6" s="225"/>
      <c r="F6" s="226"/>
      <c r="G6" s="227"/>
      <c r="H6" s="228"/>
      <c r="I6" s="229"/>
      <c r="J6" s="224"/>
      <c r="K6" s="224"/>
      <c r="L6" s="224"/>
      <c r="M6" s="219"/>
      <c r="N6" s="219"/>
      <c r="O6" s="219"/>
      <c r="P6" s="220"/>
      <c r="Q6" s="220"/>
      <c r="R6" s="221"/>
    </row>
    <row r="7" spans="1:18" ht="27" customHeight="1" x14ac:dyDescent="0.45">
      <c r="B7" s="222"/>
      <c r="C7" s="223"/>
      <c r="D7" s="224"/>
      <c r="E7" s="225"/>
      <c r="F7" s="226"/>
      <c r="G7" s="227"/>
      <c r="H7" s="228"/>
      <c r="I7" s="229"/>
      <c r="J7" s="224"/>
      <c r="K7" s="224"/>
      <c r="L7" s="224"/>
      <c r="M7" s="219"/>
      <c r="N7" s="219"/>
      <c r="O7" s="219"/>
      <c r="P7" s="220"/>
      <c r="Q7" s="220"/>
      <c r="R7" s="221"/>
    </row>
    <row r="8" spans="1:18" ht="27" customHeight="1" x14ac:dyDescent="0.45">
      <c r="B8" s="222"/>
      <c r="C8" s="223"/>
      <c r="D8" s="224"/>
      <c r="E8" s="225"/>
      <c r="F8" s="226"/>
      <c r="G8" s="227"/>
      <c r="H8" s="228"/>
      <c r="I8" s="229"/>
      <c r="J8" s="224"/>
      <c r="K8" s="224"/>
      <c r="L8" s="224"/>
      <c r="M8" s="219"/>
      <c r="N8" s="219"/>
      <c r="O8" s="219"/>
      <c r="P8" s="220"/>
      <c r="Q8" s="220"/>
      <c r="R8" s="221"/>
    </row>
    <row r="9" spans="1:18" x14ac:dyDescent="0.55000000000000004">
      <c r="A9" s="51" t="s">
        <v>814</v>
      </c>
    </row>
    <row r="15" spans="1:18" x14ac:dyDescent="0.55000000000000004">
      <c r="F15" s="7"/>
      <c r="J15" s="7"/>
    </row>
  </sheetData>
  <mergeCells count="31">
    <mergeCell ref="B2:R2"/>
    <mergeCell ref="C3:P3"/>
    <mergeCell ref="Q3:R3"/>
    <mergeCell ref="B5:C5"/>
    <mergeCell ref="D5:E5"/>
    <mergeCell ref="F5:G5"/>
    <mergeCell ref="H5:I5"/>
    <mergeCell ref="J5:L5"/>
    <mergeCell ref="M5:O5"/>
    <mergeCell ref="P5:R5"/>
    <mergeCell ref="M6:O6"/>
    <mergeCell ref="P6:R6"/>
    <mergeCell ref="B7:C7"/>
    <mergeCell ref="D7:E7"/>
    <mergeCell ref="F7:G7"/>
    <mergeCell ref="H7:I7"/>
    <mergeCell ref="J7:L7"/>
    <mergeCell ref="M7:O7"/>
    <mergeCell ref="P7:R7"/>
    <mergeCell ref="B6:C6"/>
    <mergeCell ref="D6:E6"/>
    <mergeCell ref="F6:G6"/>
    <mergeCell ref="H6:I6"/>
    <mergeCell ref="J6:L6"/>
    <mergeCell ref="M8:O8"/>
    <mergeCell ref="P8:R8"/>
    <mergeCell ref="B8:C8"/>
    <mergeCell ref="D8:E8"/>
    <mergeCell ref="F8:G8"/>
    <mergeCell ref="H8:I8"/>
    <mergeCell ref="J8:L8"/>
  </mergeCells>
  <phoneticPr fontId="2" type="noConversion"/>
  <dataValidations count="1">
    <dataValidation type="list" allowBlank="1" showInputMessage="1" showErrorMessage="1" sqref="Q3:R3" xr:uid="{00000000-0002-0000-0600-000000000000}">
      <formula1>"여,부"</formula1>
    </dataValidation>
  </dataValidations>
  <pageMargins left="0.59055118110236227" right="0.59055118110236227" top="0.59055118110236227" bottom="0.59055118110236227" header="0.31496062992125978" footer="0.31496062992125978"/>
  <pageSetup paperSize="9" scale="82" fitToHeight="0"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BBD0981-A9DE-4B4D-9F61-2F10BD53260A}">
          <x14:formula1>
            <xm:f>코드정보!$G$81:$G$101</xm:f>
          </x14:formula1>
          <xm:sqref>H6:I8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2:S14"/>
  <sheetViews>
    <sheetView showGridLines="0" view="pageBreakPreview" zoomScale="85" zoomScaleNormal="85" zoomScaleSheetLayoutView="85" workbookViewId="0">
      <selection activeCell="B2" sqref="B2:R2"/>
    </sheetView>
  </sheetViews>
  <sheetFormatPr defaultColWidth="8.640625" defaultRowHeight="17.600000000000001" x14ac:dyDescent="0.55000000000000004"/>
  <cols>
    <col min="1" max="1" width="2" style="19" customWidth="1"/>
    <col min="2" max="2" width="14.140625" style="1" customWidth="1"/>
    <col min="3" max="3" width="10.640625" style="1" customWidth="1"/>
    <col min="4" max="4" width="7.5703125" style="1" customWidth="1"/>
    <col min="5" max="5" width="5.92578125" style="1" customWidth="1"/>
    <col min="6" max="6" width="9.5" style="1" customWidth="1"/>
    <col min="7" max="7" width="5.92578125" style="1" customWidth="1"/>
    <col min="8" max="8" width="7.5703125" style="1" customWidth="1"/>
    <col min="9" max="9" width="6.7109375" style="1" customWidth="1"/>
    <col min="10" max="10" width="13.85546875" style="1" customWidth="1"/>
    <col min="11" max="11" width="11" style="1" customWidth="1"/>
    <col min="12" max="12" width="8.5703125" style="1" customWidth="1"/>
    <col min="13" max="13" width="9.42578125" style="1" customWidth="1"/>
    <col min="14" max="14" width="10.140625" style="1" customWidth="1"/>
    <col min="15" max="15" width="5.92578125" style="1" customWidth="1"/>
    <col min="16" max="16" width="8.140625" style="1" customWidth="1"/>
    <col min="17" max="17" width="5.0703125" style="1" customWidth="1"/>
    <col min="18" max="18" width="10.640625" style="1" customWidth="1"/>
    <col min="19" max="19" width="8.640625" style="1" customWidth="1"/>
    <col min="20" max="16384" width="8.640625" style="1"/>
  </cols>
  <sheetData>
    <row r="2" spans="1:19" ht="22.2" customHeight="1" x14ac:dyDescent="0.45">
      <c r="B2" s="136" t="s">
        <v>216</v>
      </c>
      <c r="C2" s="129"/>
      <c r="D2" s="129"/>
      <c r="E2" s="129"/>
      <c r="F2" s="129"/>
      <c r="G2" s="129"/>
      <c r="H2" s="129"/>
      <c r="I2" s="129"/>
      <c r="J2" s="129"/>
      <c r="K2" s="129"/>
      <c r="L2" s="129"/>
      <c r="M2" s="129"/>
      <c r="N2" s="129"/>
      <c r="O2" s="129"/>
      <c r="P2" s="129"/>
      <c r="Q2" s="129"/>
      <c r="R2" s="129"/>
    </row>
    <row r="3" spans="1:19" ht="72.650000000000006" customHeight="1" x14ac:dyDescent="0.45">
      <c r="A3" s="51" t="s">
        <v>813</v>
      </c>
      <c r="B3" s="56" t="s">
        <v>371</v>
      </c>
      <c r="C3" s="239" t="s">
        <v>372</v>
      </c>
      <c r="D3" s="240"/>
      <c r="E3" s="241" t="s">
        <v>373</v>
      </c>
      <c r="F3" s="240"/>
      <c r="G3" s="241" t="s">
        <v>374</v>
      </c>
      <c r="H3" s="240"/>
      <c r="I3" s="241" t="s">
        <v>375</v>
      </c>
      <c r="J3" s="240"/>
      <c r="K3" s="242" t="s">
        <v>376</v>
      </c>
      <c r="L3" s="190"/>
      <c r="M3" s="242" t="s">
        <v>377</v>
      </c>
      <c r="N3" s="190"/>
      <c r="O3" s="242" t="s">
        <v>792</v>
      </c>
      <c r="P3" s="190"/>
      <c r="Q3" s="243" t="s">
        <v>378</v>
      </c>
      <c r="R3" s="122"/>
      <c r="S3" s="2"/>
    </row>
    <row r="4" spans="1:19" ht="27" customHeight="1" x14ac:dyDescent="0.45">
      <c r="B4" s="29"/>
      <c r="C4" s="228"/>
      <c r="D4" s="146"/>
      <c r="E4" s="224"/>
      <c r="F4" s="144"/>
      <c r="G4" s="234"/>
      <c r="H4" s="140"/>
      <c r="I4" s="228"/>
      <c r="J4" s="146"/>
      <c r="K4" s="228"/>
      <c r="L4" s="146"/>
      <c r="M4" s="234"/>
      <c r="N4" s="140"/>
      <c r="O4" s="228"/>
      <c r="P4" s="146"/>
      <c r="Q4" s="237"/>
      <c r="R4" s="238"/>
      <c r="S4" s="2"/>
    </row>
    <row r="5" spans="1:19" ht="27" customHeight="1" x14ac:dyDescent="0.45">
      <c r="B5" s="29"/>
      <c r="C5" s="228"/>
      <c r="D5" s="146"/>
      <c r="E5" s="224"/>
      <c r="F5" s="144"/>
      <c r="G5" s="234"/>
      <c r="H5" s="140"/>
      <c r="I5" s="228"/>
      <c r="J5" s="146"/>
      <c r="K5" s="228"/>
      <c r="L5" s="146"/>
      <c r="M5" s="234"/>
      <c r="N5" s="140"/>
      <c r="O5" s="228"/>
      <c r="P5" s="146"/>
      <c r="Q5" s="237"/>
      <c r="R5" s="238"/>
    </row>
    <row r="6" spans="1:19" ht="27" customHeight="1" x14ac:dyDescent="0.45">
      <c r="B6" s="29"/>
      <c r="C6" s="228"/>
      <c r="D6" s="146"/>
      <c r="E6" s="224"/>
      <c r="F6" s="144"/>
      <c r="G6" s="234"/>
      <c r="H6" s="140"/>
      <c r="I6" s="228"/>
      <c r="J6" s="146"/>
      <c r="K6" s="228"/>
      <c r="L6" s="146"/>
      <c r="M6" s="234"/>
      <c r="N6" s="140"/>
      <c r="O6" s="228"/>
      <c r="P6" s="146"/>
      <c r="Q6" s="237"/>
      <c r="R6" s="238"/>
    </row>
    <row r="7" spans="1:19" x14ac:dyDescent="0.55000000000000004">
      <c r="A7" s="52" t="s">
        <v>814</v>
      </c>
    </row>
    <row r="14" spans="1:19" x14ac:dyDescent="0.55000000000000004">
      <c r="F14" s="7"/>
      <c r="K14" s="7"/>
    </row>
  </sheetData>
  <mergeCells count="33">
    <mergeCell ref="B2:R2"/>
    <mergeCell ref="C3:D3"/>
    <mergeCell ref="E3:F3"/>
    <mergeCell ref="G3:H3"/>
    <mergeCell ref="I3:J3"/>
    <mergeCell ref="K3:L3"/>
    <mergeCell ref="M3:N3"/>
    <mergeCell ref="O3:P3"/>
    <mergeCell ref="Q3:R3"/>
    <mergeCell ref="M4:N4"/>
    <mergeCell ref="O4:P4"/>
    <mergeCell ref="Q4:R4"/>
    <mergeCell ref="C5:D5"/>
    <mergeCell ref="E5:F5"/>
    <mergeCell ref="G5:H5"/>
    <mergeCell ref="I5:J5"/>
    <mergeCell ref="K5:L5"/>
    <mergeCell ref="M5:N5"/>
    <mergeCell ref="O5:P5"/>
    <mergeCell ref="Q5:R5"/>
    <mergeCell ref="C4:D4"/>
    <mergeCell ref="E4:F4"/>
    <mergeCell ref="G4:H4"/>
    <mergeCell ref="I4:J4"/>
    <mergeCell ref="K4:L4"/>
    <mergeCell ref="M6:N6"/>
    <mergeCell ref="O6:P6"/>
    <mergeCell ref="Q6:R6"/>
    <mergeCell ref="C6:D6"/>
    <mergeCell ref="E6:F6"/>
    <mergeCell ref="G6:H6"/>
    <mergeCell ref="I6:J6"/>
    <mergeCell ref="K6:L6"/>
  </mergeCells>
  <phoneticPr fontId="2" type="noConversion"/>
  <dataValidations count="1">
    <dataValidation type="list" allowBlank="1" showInputMessage="1" showErrorMessage="1" sqref="M4:N6" xr:uid="{00000000-0002-0000-0700-000000000000}">
      <formula1>"여,부"</formula1>
    </dataValidation>
  </dataValidations>
  <pageMargins left="0.59055118110236227" right="0.59055118110236227" top="0.59055118110236227" bottom="0.59055118110236227" header="0.31496062992125978" footer="0.31496062992125978"/>
  <pageSetup paperSize="9" scale="80" fitToHeight="0"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35DFA9CA-42BA-47F1-B1D7-48AC23B9AFFA}">
          <x14:formula1>
            <xm:f>코드정보!$G$102:$G$107</xm:f>
          </x14:formula1>
          <xm:sqref>C4:D6</xm:sqref>
        </x14:dataValidation>
        <x14:dataValidation type="list" allowBlank="1" showInputMessage="1" showErrorMessage="1" xr:uid="{F8E62C2F-A187-4F03-8FD0-EBEC70FA8811}">
          <x14:formula1>
            <xm:f>코드정보!$G$108:$G$116</xm:f>
          </x14:formula1>
          <xm:sqref>I4:J6</xm:sqref>
        </x14:dataValidation>
        <x14:dataValidation type="list" allowBlank="1" showInputMessage="1" showErrorMessage="1" xr:uid="{B4E2B9F8-3D9C-41C0-AC77-35EEFDE05134}">
          <x14:formula1>
            <xm:f>코드정보!$G$117:$G$130</xm:f>
          </x14:formula1>
          <xm:sqref>K4:L6</xm:sqref>
        </x14:dataValidation>
        <x14:dataValidation type="list" allowBlank="1" showInputMessage="1" showErrorMessage="1" xr:uid="{F3BD064A-5AD6-4E9E-AEC4-17100D501566}">
          <x14:formula1>
            <xm:f>코드정보!$G$131:$G$139</xm:f>
          </x14:formula1>
          <xm:sqref>O4:P6</xm:sqref>
        </x14:dataValidation>
        <x14:dataValidation type="list" allowBlank="1" showInputMessage="1" showErrorMessage="1" xr:uid="{CD959F72-E0B0-4810-91BD-D93CA665957A}">
          <x14:formula1>
            <xm:f>코드정보!$G$140:$G$148</xm:f>
          </x14:formula1>
          <xm:sqref>Q4:R6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2:R50"/>
  <sheetViews>
    <sheetView showGridLines="0" view="pageBreakPreview" zoomScale="85" zoomScaleNormal="85" zoomScaleSheetLayoutView="85" workbookViewId="0">
      <selection activeCell="B2" sqref="B2:R2"/>
    </sheetView>
  </sheetViews>
  <sheetFormatPr defaultColWidth="8.640625" defaultRowHeight="17.600000000000001" x14ac:dyDescent="0.55000000000000004"/>
  <cols>
    <col min="1" max="1" width="2" style="19" customWidth="1"/>
    <col min="2" max="2" width="14.140625" style="1" customWidth="1"/>
    <col min="3" max="3" width="10.640625" style="1" customWidth="1"/>
    <col min="4" max="4" width="7.5703125" style="1" customWidth="1"/>
    <col min="5" max="5" width="5.92578125" style="1" customWidth="1"/>
    <col min="6" max="6" width="9.5" style="1" customWidth="1"/>
    <col min="7" max="7" width="5.92578125" style="1" customWidth="1"/>
    <col min="8" max="8" width="7.5703125" style="1" customWidth="1"/>
    <col min="9" max="9" width="6.7109375" style="1" customWidth="1"/>
    <col min="10" max="10" width="13.85546875" style="1" customWidth="1"/>
    <col min="11" max="11" width="11" style="1" customWidth="1"/>
    <col min="12" max="12" width="8.5703125" style="1" customWidth="1"/>
    <col min="13" max="13" width="9.42578125" style="1" customWidth="1"/>
    <col min="14" max="14" width="10.140625" style="1" customWidth="1"/>
    <col min="15" max="15" width="5.92578125" style="1" customWidth="1"/>
    <col min="16" max="16" width="8.140625" style="1" customWidth="1"/>
    <col min="17" max="17" width="5.0703125" style="1" customWidth="1"/>
    <col min="18" max="18" width="10.640625" style="1" customWidth="1"/>
    <col min="19" max="19" width="8.640625" style="1" customWidth="1"/>
    <col min="20" max="16384" width="8.640625" style="1"/>
  </cols>
  <sheetData>
    <row r="2" spans="1:18" ht="27" customHeight="1" x14ac:dyDescent="0.45">
      <c r="A2" s="19">
        <f>MAX($A$1:A1)+1</f>
        <v>1</v>
      </c>
      <c r="B2" s="213" t="s">
        <v>218</v>
      </c>
      <c r="C2" s="135"/>
      <c r="D2" s="135"/>
      <c r="E2" s="135"/>
      <c r="F2" s="135"/>
      <c r="G2" s="135"/>
      <c r="H2" s="135"/>
      <c r="I2" s="135"/>
      <c r="J2" s="135"/>
      <c r="K2" s="135"/>
      <c r="L2" s="135"/>
      <c r="M2" s="135"/>
      <c r="N2" s="135"/>
      <c r="O2" s="135"/>
      <c r="P2" s="135"/>
      <c r="Q2" s="135"/>
      <c r="R2" s="135"/>
    </row>
    <row r="3" spans="1:18" ht="40.200000000000003" customHeight="1" x14ac:dyDescent="0.45">
      <c r="B3" s="213" t="s">
        <v>220</v>
      </c>
      <c r="C3" s="135"/>
      <c r="D3" s="135"/>
      <c r="E3" s="135"/>
      <c r="F3" s="135"/>
      <c r="G3" s="135"/>
      <c r="H3" s="135"/>
      <c r="I3" s="135"/>
      <c r="J3" s="135"/>
      <c r="K3" s="135"/>
      <c r="L3" s="135"/>
      <c r="M3" s="135"/>
      <c r="N3" s="135"/>
      <c r="O3" s="135"/>
      <c r="P3" s="135"/>
      <c r="Q3" s="135"/>
      <c r="R3" s="135"/>
    </row>
    <row r="4" spans="1:18" ht="27" customHeight="1" x14ac:dyDescent="0.45">
      <c r="B4" s="136" t="s">
        <v>221</v>
      </c>
      <c r="C4" s="129"/>
      <c r="D4" s="129"/>
      <c r="E4" s="129"/>
      <c r="F4" s="129"/>
      <c r="G4" s="129"/>
      <c r="H4" s="129"/>
      <c r="I4" s="129"/>
      <c r="J4" s="129"/>
      <c r="K4" s="129"/>
      <c r="L4" s="129"/>
      <c r="M4" s="129"/>
      <c r="N4" s="129"/>
      <c r="O4" s="135"/>
      <c r="P4" s="135"/>
      <c r="Q4" s="135"/>
      <c r="R4" s="135"/>
    </row>
    <row r="5" spans="1:18" ht="27" customHeight="1" x14ac:dyDescent="0.45">
      <c r="B5" s="259" t="s">
        <v>379</v>
      </c>
      <c r="C5" s="260"/>
      <c r="D5" s="260"/>
      <c r="E5" s="260"/>
      <c r="F5" s="260"/>
      <c r="G5" s="260"/>
      <c r="H5" s="260"/>
      <c r="I5" s="260"/>
      <c r="J5" s="260"/>
      <c r="K5" s="260"/>
      <c r="L5" s="260"/>
      <c r="M5" s="260"/>
      <c r="N5" s="260"/>
      <c r="O5" s="128"/>
      <c r="P5" s="129"/>
      <c r="Q5" s="129"/>
      <c r="R5" s="129"/>
    </row>
    <row r="6" spans="1:18" ht="27" customHeight="1" x14ac:dyDescent="0.45">
      <c r="B6" s="252" t="s">
        <v>380</v>
      </c>
      <c r="C6" s="201"/>
      <c r="D6" s="201"/>
      <c r="E6" s="201"/>
      <c r="F6" s="201"/>
      <c r="G6" s="201"/>
      <c r="H6" s="201"/>
      <c r="I6" s="201"/>
      <c r="J6" s="201"/>
      <c r="K6" s="201"/>
      <c r="L6" s="201"/>
      <c r="M6" s="201"/>
      <c r="N6" s="207"/>
      <c r="O6" s="257"/>
      <c r="P6" s="238"/>
      <c r="Q6" s="238"/>
      <c r="R6" s="238"/>
    </row>
    <row r="7" spans="1:18" ht="27" customHeight="1" x14ac:dyDescent="0.45">
      <c r="B7" s="252" t="s">
        <v>381</v>
      </c>
      <c r="C7" s="201"/>
      <c r="D7" s="201"/>
      <c r="E7" s="201"/>
      <c r="F7" s="201"/>
      <c r="G7" s="201"/>
      <c r="H7" s="201"/>
      <c r="I7" s="201"/>
      <c r="J7" s="201"/>
      <c r="K7" s="201"/>
      <c r="L7" s="201"/>
      <c r="M7" s="201"/>
      <c r="N7" s="207"/>
      <c r="O7" s="258"/>
      <c r="P7" s="143"/>
      <c r="Q7" s="143"/>
      <c r="R7" s="143"/>
    </row>
    <row r="8" spans="1:18" ht="27" customHeight="1" x14ac:dyDescent="0.45">
      <c r="B8" s="252" t="s">
        <v>382</v>
      </c>
      <c r="C8" s="201"/>
      <c r="D8" s="201"/>
      <c r="E8" s="201"/>
      <c r="F8" s="201"/>
      <c r="G8" s="201"/>
      <c r="H8" s="201"/>
      <c r="I8" s="201"/>
      <c r="J8" s="201"/>
      <c r="K8" s="201"/>
      <c r="L8" s="201"/>
      <c r="M8" s="201"/>
      <c r="N8" s="207"/>
      <c r="O8" s="128"/>
      <c r="P8" s="129"/>
      <c r="Q8" s="129"/>
      <c r="R8" s="129"/>
    </row>
    <row r="9" spans="1:18" ht="27" customHeight="1" x14ac:dyDescent="0.45">
      <c r="B9" s="215" t="s">
        <v>383</v>
      </c>
      <c r="C9" s="129"/>
      <c r="D9" s="129"/>
      <c r="E9" s="129"/>
      <c r="F9" s="129"/>
      <c r="G9" s="129"/>
      <c r="H9" s="129"/>
      <c r="I9" s="129"/>
      <c r="J9" s="129"/>
      <c r="K9" s="129"/>
      <c r="L9" s="129"/>
      <c r="M9" s="129"/>
      <c r="N9" s="140"/>
      <c r="O9" s="128" t="s">
        <v>326</v>
      </c>
      <c r="P9" s="129"/>
      <c r="Q9" s="129"/>
      <c r="R9" s="129"/>
    </row>
    <row r="10" spans="1:18" x14ac:dyDescent="0.55000000000000004">
      <c r="B10" s="32"/>
      <c r="C10" s="32"/>
      <c r="D10" s="32"/>
      <c r="E10" s="32"/>
      <c r="F10" s="32"/>
      <c r="G10" s="32"/>
      <c r="H10" s="32"/>
      <c r="I10" s="32"/>
      <c r="J10" s="32"/>
      <c r="K10" s="32"/>
      <c r="L10" s="32"/>
      <c r="M10" s="32"/>
      <c r="N10" s="32"/>
      <c r="O10" s="26"/>
      <c r="P10" s="26"/>
      <c r="Q10" s="26"/>
      <c r="R10" s="26"/>
    </row>
    <row r="11" spans="1:18" ht="27" customHeight="1" x14ac:dyDescent="0.45">
      <c r="B11" s="136" t="s">
        <v>222</v>
      </c>
      <c r="C11" s="129"/>
      <c r="D11" s="129"/>
      <c r="E11" s="129"/>
      <c r="F11" s="129"/>
      <c r="G11" s="129"/>
      <c r="H11" s="129"/>
      <c r="I11" s="129"/>
      <c r="J11" s="129"/>
      <c r="K11" s="129"/>
      <c r="L11" s="129"/>
      <c r="M11" s="129"/>
      <c r="N11" s="129"/>
      <c r="O11" s="129"/>
      <c r="P11" s="129"/>
      <c r="Q11" s="129"/>
      <c r="R11" s="129"/>
    </row>
    <row r="12" spans="1:18" ht="27" customHeight="1" x14ac:dyDescent="0.45">
      <c r="B12" s="136" t="s">
        <v>223</v>
      </c>
      <c r="C12" s="129"/>
      <c r="D12" s="129"/>
      <c r="E12" s="129"/>
      <c r="F12" s="129"/>
      <c r="G12" s="129"/>
      <c r="H12" s="129"/>
      <c r="I12" s="129"/>
      <c r="J12" s="129"/>
      <c r="K12" s="129"/>
      <c r="L12" s="129"/>
      <c r="M12" s="129"/>
      <c r="N12" s="129"/>
      <c r="O12" s="129"/>
      <c r="P12" s="129"/>
      <c r="Q12" s="129"/>
      <c r="R12" s="129"/>
    </row>
    <row r="13" spans="1:18" ht="27" customHeight="1" x14ac:dyDescent="0.45">
      <c r="B13" s="136" t="s">
        <v>224</v>
      </c>
      <c r="C13" s="129"/>
      <c r="D13" s="129"/>
      <c r="E13" s="129"/>
      <c r="F13" s="129"/>
      <c r="G13" s="129"/>
      <c r="H13" s="129"/>
      <c r="I13" s="129"/>
      <c r="J13" s="129"/>
      <c r="K13" s="129"/>
      <c r="L13" s="129"/>
      <c r="M13" s="129"/>
      <c r="N13" s="129"/>
      <c r="O13" s="135"/>
      <c r="P13" s="135"/>
      <c r="Q13" s="135"/>
      <c r="R13" s="135"/>
    </row>
    <row r="14" spans="1:18" ht="27" customHeight="1" x14ac:dyDescent="0.45">
      <c r="B14" s="252" t="s">
        <v>384</v>
      </c>
      <c r="C14" s="201"/>
      <c r="D14" s="201"/>
      <c r="E14" s="201"/>
      <c r="F14" s="201"/>
      <c r="G14" s="201"/>
      <c r="H14" s="201"/>
      <c r="I14" s="201"/>
      <c r="J14" s="201"/>
      <c r="K14" s="201"/>
      <c r="L14" s="201"/>
      <c r="M14" s="201"/>
      <c r="N14" s="201"/>
      <c r="O14" s="253"/>
      <c r="P14" s="254"/>
      <c r="Q14" s="254"/>
      <c r="R14" s="254"/>
    </row>
    <row r="15" spans="1:18" ht="27" customHeight="1" x14ac:dyDescent="0.45">
      <c r="B15" s="136" t="s">
        <v>225</v>
      </c>
      <c r="C15" s="129"/>
      <c r="D15" s="129"/>
      <c r="E15" s="129"/>
      <c r="F15" s="129"/>
      <c r="G15" s="129"/>
      <c r="H15" s="129"/>
      <c r="I15" s="129"/>
      <c r="J15" s="129"/>
      <c r="K15" s="129"/>
      <c r="L15" s="129"/>
      <c r="M15" s="129"/>
      <c r="N15" s="129"/>
      <c r="O15" s="129"/>
      <c r="P15" s="129"/>
      <c r="Q15" s="129"/>
      <c r="R15" s="129"/>
    </row>
    <row r="16" spans="1:18" ht="27" customHeight="1" x14ac:dyDescent="0.45">
      <c r="B16" s="136" t="s">
        <v>385</v>
      </c>
      <c r="C16" s="129"/>
      <c r="D16" s="129"/>
      <c r="E16" s="129"/>
      <c r="F16" s="129"/>
      <c r="G16" s="129"/>
      <c r="H16" s="129"/>
      <c r="I16" s="129"/>
      <c r="J16" s="129"/>
      <c r="K16" s="129"/>
      <c r="L16" s="129"/>
      <c r="M16" s="129"/>
      <c r="N16" s="129"/>
      <c r="O16" s="129"/>
      <c r="P16" s="129"/>
      <c r="Q16" s="129"/>
      <c r="R16" s="129"/>
    </row>
    <row r="17" spans="2:18" ht="27" customHeight="1" x14ac:dyDescent="0.45">
      <c r="B17" s="255"/>
      <c r="C17" s="122"/>
      <c r="D17" s="122"/>
      <c r="E17" s="122"/>
      <c r="F17" s="122"/>
      <c r="G17" s="190"/>
      <c r="H17" s="256" t="s">
        <v>386</v>
      </c>
      <c r="I17" s="122"/>
      <c r="J17" s="122"/>
      <c r="K17" s="122"/>
      <c r="L17" s="122"/>
      <c r="M17" s="190"/>
      <c r="N17" s="121" t="s">
        <v>387</v>
      </c>
      <c r="O17" s="122"/>
      <c r="P17" s="122"/>
      <c r="Q17" s="122"/>
      <c r="R17" s="122"/>
    </row>
    <row r="18" spans="2:18" ht="27" customHeight="1" x14ac:dyDescent="0.45">
      <c r="B18" s="247" t="s">
        <v>388</v>
      </c>
      <c r="C18" s="129"/>
      <c r="D18" s="129"/>
      <c r="E18" s="129"/>
      <c r="F18" s="129"/>
      <c r="G18" s="140"/>
      <c r="H18" s="248"/>
      <c r="I18" s="129"/>
      <c r="J18" s="129"/>
      <c r="K18" s="129"/>
      <c r="L18" s="129"/>
      <c r="M18" s="140"/>
      <c r="N18" s="245"/>
      <c r="O18" s="129"/>
      <c r="P18" s="129"/>
      <c r="Q18" s="129"/>
      <c r="R18" s="129"/>
    </row>
    <row r="19" spans="2:18" ht="27" customHeight="1" x14ac:dyDescent="0.45">
      <c r="B19" s="247" t="s">
        <v>389</v>
      </c>
      <c r="C19" s="129"/>
      <c r="D19" s="129"/>
      <c r="E19" s="129"/>
      <c r="F19" s="129"/>
      <c r="G19" s="140"/>
      <c r="H19" s="248"/>
      <c r="I19" s="129"/>
      <c r="J19" s="129"/>
      <c r="K19" s="129"/>
      <c r="L19" s="129"/>
      <c r="M19" s="140"/>
      <c r="N19" s="245"/>
      <c r="O19" s="129"/>
      <c r="P19" s="129"/>
      <c r="Q19" s="129"/>
      <c r="R19" s="129"/>
    </row>
    <row r="20" spans="2:18" ht="27" customHeight="1" x14ac:dyDescent="0.45">
      <c r="B20" s="247" t="s">
        <v>390</v>
      </c>
      <c r="C20" s="129"/>
      <c r="D20" s="129"/>
      <c r="E20" s="129"/>
      <c r="F20" s="129"/>
      <c r="G20" s="140"/>
      <c r="H20" s="248"/>
      <c r="I20" s="129"/>
      <c r="J20" s="129"/>
      <c r="K20" s="129"/>
      <c r="L20" s="129"/>
      <c r="M20" s="140"/>
      <c r="N20" s="245"/>
      <c r="O20" s="129"/>
      <c r="P20" s="129"/>
      <c r="Q20" s="129"/>
      <c r="R20" s="129"/>
    </row>
    <row r="21" spans="2:18" ht="27" customHeight="1" x14ac:dyDescent="0.45">
      <c r="B21" s="247" t="s">
        <v>391</v>
      </c>
      <c r="C21" s="129"/>
      <c r="D21" s="129"/>
      <c r="E21" s="129"/>
      <c r="F21" s="129"/>
      <c r="G21" s="140"/>
      <c r="H21" s="248"/>
      <c r="I21" s="129"/>
      <c r="J21" s="129"/>
      <c r="K21" s="129"/>
      <c r="L21" s="129"/>
      <c r="M21" s="140"/>
      <c r="N21" s="245"/>
      <c r="O21" s="129"/>
      <c r="P21" s="129"/>
      <c r="Q21" s="129"/>
      <c r="R21" s="129"/>
    </row>
    <row r="22" spans="2:18" x14ac:dyDescent="0.55000000000000004">
      <c r="B22" s="25"/>
      <c r="C22" s="25"/>
      <c r="D22" s="25"/>
      <c r="E22" s="25"/>
      <c r="F22" s="25"/>
      <c r="G22" s="25"/>
      <c r="H22" s="25"/>
      <c r="I22" s="25"/>
      <c r="J22" s="25"/>
      <c r="K22" s="25"/>
      <c r="L22" s="25"/>
      <c r="M22" s="25"/>
      <c r="N22" s="25"/>
      <c r="O22" s="25"/>
      <c r="P22" s="25"/>
      <c r="Q22" s="25"/>
      <c r="R22" s="25"/>
    </row>
    <row r="23" spans="2:18" ht="24" customHeight="1" x14ac:dyDescent="0.45">
      <c r="B23" s="136" t="s">
        <v>226</v>
      </c>
      <c r="C23" s="129"/>
      <c r="D23" s="129"/>
      <c r="E23" s="129"/>
      <c r="F23" s="129"/>
      <c r="G23" s="129"/>
      <c r="H23" s="129"/>
      <c r="I23" s="129"/>
      <c r="J23" s="129"/>
      <c r="K23" s="129"/>
      <c r="L23" s="129"/>
      <c r="M23" s="129"/>
      <c r="N23" s="129"/>
      <c r="O23" s="129"/>
      <c r="P23" s="129"/>
      <c r="Q23" s="129"/>
      <c r="R23" s="129"/>
    </row>
    <row r="24" spans="2:18" ht="24" customHeight="1" x14ac:dyDescent="0.45">
      <c r="B24" s="136" t="s">
        <v>392</v>
      </c>
      <c r="C24" s="129"/>
      <c r="D24" s="129"/>
      <c r="E24" s="129"/>
      <c r="F24" s="129"/>
      <c r="G24" s="129"/>
      <c r="H24" s="129"/>
      <c r="I24" s="129"/>
      <c r="J24" s="129"/>
      <c r="K24" s="129"/>
      <c r="L24" s="129"/>
      <c r="M24" s="129"/>
      <c r="N24" s="129"/>
      <c r="O24" s="129"/>
      <c r="P24" s="129"/>
      <c r="Q24" s="129"/>
      <c r="R24" s="129"/>
    </row>
    <row r="25" spans="2:18" ht="24" customHeight="1" x14ac:dyDescent="0.45">
      <c r="B25" s="250" t="s">
        <v>393</v>
      </c>
      <c r="C25" s="201"/>
      <c r="D25" s="201"/>
      <c r="E25" s="201"/>
      <c r="F25" s="201"/>
      <c r="G25" s="201"/>
      <c r="H25" s="201"/>
      <c r="I25" s="201"/>
      <c r="J25" s="201"/>
      <c r="K25" s="201"/>
      <c r="L25" s="201"/>
      <c r="M25" s="201"/>
      <c r="N25" s="207"/>
      <c r="O25" s="245"/>
      <c r="P25" s="129"/>
      <c r="Q25" s="129"/>
      <c r="R25" s="129"/>
    </row>
    <row r="26" spans="2:18" ht="24" customHeight="1" x14ac:dyDescent="0.45">
      <c r="B26" s="250" t="s">
        <v>394</v>
      </c>
      <c r="C26" s="201"/>
      <c r="D26" s="201"/>
      <c r="E26" s="201"/>
      <c r="F26" s="201"/>
      <c r="G26" s="201"/>
      <c r="H26" s="201"/>
      <c r="I26" s="201"/>
      <c r="J26" s="201"/>
      <c r="K26" s="201"/>
      <c r="L26" s="201"/>
      <c r="M26" s="201"/>
      <c r="N26" s="207"/>
      <c r="O26" s="245"/>
      <c r="P26" s="129"/>
      <c r="Q26" s="129"/>
      <c r="R26" s="129"/>
    </row>
    <row r="27" spans="2:18" ht="24" customHeight="1" x14ac:dyDescent="0.45">
      <c r="B27" s="250" t="s">
        <v>395</v>
      </c>
      <c r="C27" s="201"/>
      <c r="D27" s="201"/>
      <c r="E27" s="201"/>
      <c r="F27" s="201"/>
      <c r="G27" s="201"/>
      <c r="H27" s="201"/>
      <c r="I27" s="201"/>
      <c r="J27" s="201"/>
      <c r="K27" s="201"/>
      <c r="L27" s="201"/>
      <c r="M27" s="201"/>
      <c r="N27" s="201"/>
      <c r="O27" s="245"/>
      <c r="P27" s="129"/>
      <c r="Q27" s="129"/>
      <c r="R27" s="129"/>
    </row>
    <row r="28" spans="2:18" x14ac:dyDescent="0.55000000000000004">
      <c r="B28" s="25"/>
      <c r="C28" s="25"/>
      <c r="D28" s="25"/>
      <c r="E28" s="25"/>
      <c r="F28" s="25"/>
      <c r="G28" s="25"/>
      <c r="H28" s="25"/>
      <c r="I28" s="25"/>
      <c r="J28" s="25"/>
      <c r="K28" s="25"/>
      <c r="L28" s="25"/>
      <c r="M28" s="25"/>
      <c r="N28" s="25"/>
      <c r="O28" s="25"/>
      <c r="P28" s="25"/>
      <c r="Q28" s="25"/>
      <c r="R28" s="25"/>
    </row>
    <row r="29" spans="2:18" ht="24" customHeight="1" x14ac:dyDescent="0.45">
      <c r="B29" s="136" t="s">
        <v>396</v>
      </c>
      <c r="C29" s="129"/>
      <c r="D29" s="129"/>
      <c r="E29" s="129"/>
      <c r="F29" s="129"/>
      <c r="G29" s="129"/>
      <c r="H29" s="129"/>
      <c r="I29" s="129"/>
      <c r="J29" s="129"/>
      <c r="K29" s="129"/>
      <c r="L29" s="129"/>
      <c r="M29" s="129"/>
      <c r="N29" s="129"/>
      <c r="O29" s="129"/>
      <c r="P29" s="129"/>
      <c r="Q29" s="129"/>
      <c r="R29" s="129"/>
    </row>
    <row r="30" spans="2:18" ht="24" customHeight="1" x14ac:dyDescent="0.45">
      <c r="B30" s="244" t="s">
        <v>397</v>
      </c>
      <c r="C30" s="129"/>
      <c r="D30" s="129"/>
      <c r="E30" s="129"/>
      <c r="F30" s="129"/>
      <c r="G30" s="129"/>
      <c r="H30" s="129"/>
      <c r="I30" s="129"/>
      <c r="J30" s="129"/>
      <c r="K30" s="129"/>
      <c r="L30" s="129"/>
      <c r="M30" s="129"/>
      <c r="N30" s="140"/>
      <c r="O30" s="251"/>
      <c r="P30" s="129"/>
      <c r="Q30" s="129"/>
      <c r="R30" s="129"/>
    </row>
    <row r="31" spans="2:18" x14ac:dyDescent="0.55000000000000004">
      <c r="B31" s="25"/>
      <c r="C31" s="25"/>
      <c r="D31" s="25"/>
      <c r="E31" s="25"/>
      <c r="F31" s="25"/>
      <c r="G31" s="25"/>
      <c r="H31" s="25"/>
      <c r="I31" s="25"/>
      <c r="J31" s="25"/>
      <c r="K31" s="25"/>
      <c r="L31" s="25"/>
      <c r="M31" s="25"/>
      <c r="N31" s="25"/>
      <c r="O31" s="25"/>
      <c r="P31" s="25"/>
      <c r="Q31" s="25"/>
      <c r="R31" s="25"/>
    </row>
    <row r="32" spans="2:18" ht="24" customHeight="1" x14ac:dyDescent="0.45">
      <c r="B32" s="136" t="s">
        <v>227</v>
      </c>
      <c r="C32" s="129"/>
      <c r="D32" s="129"/>
      <c r="E32" s="129"/>
      <c r="F32" s="129"/>
      <c r="G32" s="129"/>
      <c r="H32" s="129"/>
      <c r="I32" s="129"/>
      <c r="J32" s="129"/>
      <c r="K32" s="129"/>
      <c r="L32" s="129"/>
      <c r="M32" s="129"/>
      <c r="N32" s="129"/>
      <c r="O32" s="129"/>
      <c r="P32" s="129"/>
      <c r="Q32" s="129"/>
      <c r="R32" s="129"/>
    </row>
    <row r="33" spans="2:18" ht="24" customHeight="1" x14ac:dyDescent="0.55000000000000004">
      <c r="B33" s="249" t="s">
        <v>398</v>
      </c>
      <c r="C33" s="249"/>
      <c r="D33" s="249"/>
      <c r="E33" s="249"/>
      <c r="F33" s="249"/>
      <c r="G33" s="249"/>
      <c r="H33" s="249"/>
      <c r="I33" s="249"/>
      <c r="J33" s="249"/>
      <c r="K33" s="249"/>
      <c r="L33" s="249"/>
      <c r="M33" s="249"/>
      <c r="N33" s="249"/>
      <c r="O33" s="249"/>
      <c r="P33" s="249"/>
      <c r="Q33" s="249"/>
      <c r="R33" s="249"/>
    </row>
    <row r="34" spans="2:18" ht="24" customHeight="1" x14ac:dyDescent="0.55000000000000004">
      <c r="B34" s="249" t="s">
        <v>399</v>
      </c>
      <c r="C34" s="249"/>
      <c r="D34" s="249"/>
      <c r="E34" s="249"/>
      <c r="F34" s="249"/>
      <c r="G34" s="249"/>
      <c r="H34" s="249"/>
      <c r="I34" s="249"/>
      <c r="J34" s="249"/>
      <c r="K34" s="249"/>
      <c r="L34" s="249"/>
      <c r="M34" s="249"/>
      <c r="N34" s="249"/>
      <c r="O34" s="249"/>
      <c r="P34" s="249"/>
      <c r="Q34" s="249"/>
      <c r="R34" s="249"/>
    </row>
    <row r="35" spans="2:18" ht="24" customHeight="1" x14ac:dyDescent="0.45">
      <c r="B35" s="247"/>
      <c r="C35" s="129"/>
      <c r="D35" s="140"/>
      <c r="E35" s="147" t="s">
        <v>400</v>
      </c>
      <c r="F35" s="129"/>
      <c r="G35" s="129"/>
      <c r="H35" s="140"/>
      <c r="I35" s="147" t="s">
        <v>401</v>
      </c>
      <c r="J35" s="129"/>
      <c r="K35" s="140"/>
      <c r="L35" s="147" t="s">
        <v>402</v>
      </c>
      <c r="M35" s="129"/>
      <c r="N35" s="140"/>
      <c r="O35" s="128" t="s">
        <v>403</v>
      </c>
      <c r="P35" s="129"/>
      <c r="Q35" s="129"/>
      <c r="R35" s="129"/>
    </row>
    <row r="36" spans="2:18" ht="24" customHeight="1" x14ac:dyDescent="0.45">
      <c r="B36" s="247" t="s">
        <v>388</v>
      </c>
      <c r="C36" s="129"/>
      <c r="D36" s="140"/>
      <c r="E36" s="248"/>
      <c r="F36" s="129"/>
      <c r="G36" s="129"/>
      <c r="H36" s="140"/>
      <c r="I36" s="248"/>
      <c r="J36" s="129"/>
      <c r="K36" s="140"/>
      <c r="L36" s="248"/>
      <c r="M36" s="129"/>
      <c r="N36" s="140"/>
      <c r="O36" s="245"/>
      <c r="P36" s="129"/>
      <c r="Q36" s="129"/>
      <c r="R36" s="129"/>
    </row>
    <row r="37" spans="2:18" ht="24" customHeight="1" x14ac:dyDescent="0.45">
      <c r="B37" s="247" t="s">
        <v>389</v>
      </c>
      <c r="C37" s="129"/>
      <c r="D37" s="140"/>
      <c r="E37" s="248"/>
      <c r="F37" s="129"/>
      <c r="G37" s="129"/>
      <c r="H37" s="140"/>
      <c r="I37" s="248"/>
      <c r="J37" s="129"/>
      <c r="K37" s="140"/>
      <c r="L37" s="248"/>
      <c r="M37" s="129"/>
      <c r="N37" s="140"/>
      <c r="O37" s="245"/>
      <c r="P37" s="129"/>
      <c r="Q37" s="129"/>
      <c r="R37" s="129"/>
    </row>
    <row r="38" spans="2:18" ht="24" customHeight="1" x14ac:dyDescent="0.45">
      <c r="B38" s="247" t="s">
        <v>390</v>
      </c>
      <c r="C38" s="129"/>
      <c r="D38" s="140"/>
      <c r="E38" s="248"/>
      <c r="F38" s="129"/>
      <c r="G38" s="129"/>
      <c r="H38" s="140"/>
      <c r="I38" s="248"/>
      <c r="J38" s="129"/>
      <c r="K38" s="140"/>
      <c r="L38" s="248"/>
      <c r="M38" s="129"/>
      <c r="N38" s="140"/>
      <c r="O38" s="245"/>
      <c r="P38" s="129"/>
      <c r="Q38" s="129"/>
      <c r="R38" s="129"/>
    </row>
    <row r="39" spans="2:18" x14ac:dyDescent="0.45">
      <c r="B39" s="247" t="s">
        <v>404</v>
      </c>
      <c r="C39" s="129"/>
      <c r="D39" s="140"/>
      <c r="E39" s="248"/>
      <c r="F39" s="129"/>
      <c r="G39" s="129"/>
      <c r="H39" s="140"/>
      <c r="I39" s="248"/>
      <c r="J39" s="129"/>
      <c r="K39" s="140"/>
      <c r="L39" s="248"/>
      <c r="M39" s="129"/>
      <c r="N39" s="140"/>
      <c r="O39" s="245"/>
      <c r="P39" s="129"/>
      <c r="Q39" s="129"/>
      <c r="R39" s="129"/>
    </row>
    <row r="40" spans="2:18" x14ac:dyDescent="0.55000000000000004">
      <c r="B40" s="25"/>
      <c r="C40" s="25"/>
      <c r="D40" s="25"/>
      <c r="E40" s="25"/>
      <c r="F40" s="25"/>
      <c r="G40" s="25"/>
      <c r="H40" s="25"/>
      <c r="I40" s="25"/>
      <c r="J40" s="25"/>
      <c r="K40" s="25"/>
      <c r="L40" s="25"/>
      <c r="M40" s="25"/>
      <c r="N40" s="25"/>
      <c r="O40" s="25"/>
      <c r="P40" s="25"/>
      <c r="Q40" s="25"/>
      <c r="R40" s="25"/>
    </row>
    <row r="41" spans="2:18" ht="24" customHeight="1" x14ac:dyDescent="0.45">
      <c r="B41" s="136" t="s">
        <v>228</v>
      </c>
      <c r="C41" s="129"/>
      <c r="D41" s="129"/>
      <c r="E41" s="129"/>
      <c r="F41" s="129"/>
      <c r="G41" s="129"/>
      <c r="H41" s="129"/>
      <c r="I41" s="129"/>
      <c r="J41" s="129"/>
      <c r="K41" s="129"/>
      <c r="L41" s="129"/>
      <c r="M41" s="135"/>
      <c r="N41" s="135"/>
      <c r="O41" s="135"/>
      <c r="P41" s="135"/>
      <c r="Q41" s="135"/>
      <c r="R41" s="135"/>
    </row>
    <row r="42" spans="2:18" ht="24" customHeight="1" x14ac:dyDescent="0.45">
      <c r="B42" s="244" t="s">
        <v>405</v>
      </c>
      <c r="C42" s="129"/>
      <c r="D42" s="129"/>
      <c r="E42" s="129"/>
      <c r="F42" s="129"/>
      <c r="G42" s="129"/>
      <c r="H42" s="129"/>
      <c r="I42" s="129"/>
      <c r="J42" s="129"/>
      <c r="K42" s="129"/>
      <c r="L42" s="129"/>
      <c r="M42" s="246"/>
      <c r="N42" s="129"/>
      <c r="O42" s="129"/>
      <c r="P42" s="129"/>
      <c r="Q42" s="129"/>
      <c r="R42" s="129"/>
    </row>
    <row r="43" spans="2:18" ht="24" customHeight="1" x14ac:dyDescent="0.45">
      <c r="B43" s="244" t="s">
        <v>406</v>
      </c>
      <c r="C43" s="129"/>
      <c r="D43" s="129"/>
      <c r="E43" s="129"/>
      <c r="F43" s="129"/>
      <c r="G43" s="129"/>
      <c r="H43" s="129"/>
      <c r="I43" s="129"/>
      <c r="J43" s="129"/>
      <c r="K43" s="129"/>
      <c r="L43" s="140"/>
      <c r="M43" s="128"/>
      <c r="N43" s="129"/>
      <c r="O43" s="129"/>
      <c r="P43" s="129"/>
      <c r="Q43" s="129"/>
      <c r="R43" s="129"/>
    </row>
    <row r="44" spans="2:18" ht="24" customHeight="1" x14ac:dyDescent="0.45">
      <c r="B44" s="244" t="s">
        <v>407</v>
      </c>
      <c r="C44" s="129"/>
      <c r="D44" s="129"/>
      <c r="E44" s="129"/>
      <c r="F44" s="129"/>
      <c r="G44" s="129"/>
      <c r="H44" s="129"/>
      <c r="I44" s="129"/>
      <c r="J44" s="129"/>
      <c r="K44" s="129"/>
      <c r="L44" s="140"/>
      <c r="M44" s="245"/>
      <c r="N44" s="129"/>
      <c r="O44" s="129"/>
      <c r="P44" s="129"/>
      <c r="Q44" s="129"/>
      <c r="R44" s="129"/>
    </row>
    <row r="45" spans="2:18" ht="24" customHeight="1" x14ac:dyDescent="0.45">
      <c r="B45" s="244" t="s">
        <v>408</v>
      </c>
      <c r="C45" s="129"/>
      <c r="D45" s="129"/>
      <c r="E45" s="129"/>
      <c r="F45" s="129"/>
      <c r="G45" s="129"/>
      <c r="H45" s="129"/>
      <c r="I45" s="129"/>
      <c r="J45" s="129"/>
      <c r="K45" s="129"/>
      <c r="L45" s="140"/>
      <c r="M45" s="245"/>
      <c r="N45" s="129"/>
      <c r="O45" s="129"/>
      <c r="P45" s="129"/>
      <c r="Q45" s="129"/>
      <c r="R45" s="129"/>
    </row>
    <row r="46" spans="2:18" ht="24" customHeight="1" x14ac:dyDescent="0.55000000000000004">
      <c r="B46" s="244" t="s">
        <v>409</v>
      </c>
      <c r="C46" s="135"/>
      <c r="D46" s="135"/>
      <c r="E46" s="135"/>
      <c r="F46" s="135"/>
      <c r="G46" s="135"/>
      <c r="H46" s="135"/>
      <c r="I46" s="135"/>
      <c r="J46" s="135"/>
      <c r="K46" s="135"/>
      <c r="L46" s="187"/>
      <c r="M46" s="134"/>
      <c r="N46" s="202"/>
      <c r="O46" s="202"/>
      <c r="P46" s="202"/>
      <c r="Q46" s="202"/>
      <c r="R46" s="202"/>
    </row>
    <row r="47" spans="2:18" ht="21" customHeight="1" x14ac:dyDescent="0.55000000000000004">
      <c r="B47" s="188"/>
      <c r="C47" s="188"/>
      <c r="D47" s="188"/>
      <c r="E47" s="188"/>
      <c r="F47" s="188"/>
      <c r="G47" s="188"/>
      <c r="H47" s="188"/>
      <c r="I47" s="188"/>
      <c r="J47" s="188"/>
      <c r="K47" s="188"/>
      <c r="L47" s="189"/>
      <c r="M47" s="203"/>
      <c r="N47" s="204"/>
      <c r="O47" s="204"/>
      <c r="P47" s="204"/>
      <c r="Q47" s="204"/>
      <c r="R47" s="204"/>
    </row>
    <row r="48" spans="2:18" ht="24" customHeight="1" x14ac:dyDescent="0.55000000000000004">
      <c r="B48" s="122"/>
      <c r="C48" s="122"/>
      <c r="D48" s="122"/>
      <c r="E48" s="122"/>
      <c r="F48" s="122"/>
      <c r="G48" s="122"/>
      <c r="H48" s="122"/>
      <c r="I48" s="122"/>
      <c r="J48" s="122"/>
      <c r="K48" s="122"/>
      <c r="L48" s="190"/>
      <c r="M48" s="121"/>
      <c r="N48" s="205"/>
      <c r="O48" s="205"/>
      <c r="P48" s="205"/>
      <c r="Q48" s="205"/>
      <c r="R48" s="205"/>
    </row>
    <row r="49" spans="2:18" ht="24" customHeight="1" x14ac:dyDescent="0.45">
      <c r="B49" s="244" t="s">
        <v>410</v>
      </c>
      <c r="C49" s="129"/>
      <c r="D49" s="129"/>
      <c r="E49" s="129"/>
      <c r="F49" s="129"/>
      <c r="G49" s="129"/>
      <c r="H49" s="129"/>
      <c r="I49" s="129"/>
      <c r="J49" s="129"/>
      <c r="K49" s="129"/>
      <c r="L49" s="140"/>
      <c r="M49" s="245"/>
      <c r="N49" s="129"/>
      <c r="O49" s="129"/>
      <c r="P49" s="129"/>
      <c r="Q49" s="129"/>
      <c r="R49" s="129"/>
    </row>
    <row r="50" spans="2:18" ht="24" customHeight="1" x14ac:dyDescent="0.45">
      <c r="B50" s="244" t="s">
        <v>411</v>
      </c>
      <c r="C50" s="129"/>
      <c r="D50" s="129"/>
      <c r="E50" s="129"/>
      <c r="F50" s="129"/>
      <c r="G50" s="129"/>
      <c r="H50" s="129"/>
      <c r="I50" s="129"/>
      <c r="J50" s="129"/>
      <c r="K50" s="129"/>
      <c r="L50" s="140"/>
      <c r="M50" s="245"/>
      <c r="N50" s="129"/>
      <c r="O50" s="129"/>
      <c r="P50" s="129"/>
      <c r="Q50" s="129"/>
      <c r="R50" s="129"/>
    </row>
  </sheetData>
  <mergeCells count="89">
    <mergeCell ref="B2:R2"/>
    <mergeCell ref="B3:R3"/>
    <mergeCell ref="B4:R4"/>
    <mergeCell ref="B5:N5"/>
    <mergeCell ref="O5:R5"/>
    <mergeCell ref="B6:N6"/>
    <mergeCell ref="O6:R6"/>
    <mergeCell ref="B7:N7"/>
    <mergeCell ref="O7:R7"/>
    <mergeCell ref="B8:N8"/>
    <mergeCell ref="O8:R8"/>
    <mergeCell ref="B9:N9"/>
    <mergeCell ref="O9:R9"/>
    <mergeCell ref="B11:R11"/>
    <mergeCell ref="B12:R12"/>
    <mergeCell ref="B13:R13"/>
    <mergeCell ref="B14:N14"/>
    <mergeCell ref="O14:R14"/>
    <mergeCell ref="B15:R15"/>
    <mergeCell ref="B16:R16"/>
    <mergeCell ref="B17:G17"/>
    <mergeCell ref="H17:M17"/>
    <mergeCell ref="N17:R17"/>
    <mergeCell ref="B18:G18"/>
    <mergeCell ref="H18:M18"/>
    <mergeCell ref="N18:R18"/>
    <mergeCell ref="B19:G19"/>
    <mergeCell ref="H19:M19"/>
    <mergeCell ref="N19:R19"/>
    <mergeCell ref="B20:G20"/>
    <mergeCell ref="H20:M20"/>
    <mergeCell ref="N20:R20"/>
    <mergeCell ref="B21:G21"/>
    <mergeCell ref="H21:M21"/>
    <mergeCell ref="N21:R21"/>
    <mergeCell ref="B23:R23"/>
    <mergeCell ref="B24:R24"/>
    <mergeCell ref="B25:N25"/>
    <mergeCell ref="O25:R25"/>
    <mergeCell ref="B26:N26"/>
    <mergeCell ref="O26:R26"/>
    <mergeCell ref="B27:N27"/>
    <mergeCell ref="O27:R27"/>
    <mergeCell ref="B29:R29"/>
    <mergeCell ref="B30:N30"/>
    <mergeCell ref="O30:R30"/>
    <mergeCell ref="B32:R32"/>
    <mergeCell ref="B33:R33"/>
    <mergeCell ref="B34:R34"/>
    <mergeCell ref="B35:D35"/>
    <mergeCell ref="E35:H35"/>
    <mergeCell ref="I35:K35"/>
    <mergeCell ref="L35:N35"/>
    <mergeCell ref="O35:R35"/>
    <mergeCell ref="B36:D36"/>
    <mergeCell ref="E36:H36"/>
    <mergeCell ref="I36:K36"/>
    <mergeCell ref="L36:N36"/>
    <mergeCell ref="O36:R36"/>
    <mergeCell ref="B37:D37"/>
    <mergeCell ref="E37:H37"/>
    <mergeCell ref="I37:K37"/>
    <mergeCell ref="L37:N37"/>
    <mergeCell ref="O37:R37"/>
    <mergeCell ref="B38:D38"/>
    <mergeCell ref="E38:H38"/>
    <mergeCell ref="I38:K38"/>
    <mergeCell ref="L38:N38"/>
    <mergeCell ref="O38:R38"/>
    <mergeCell ref="B39:D39"/>
    <mergeCell ref="E39:H39"/>
    <mergeCell ref="I39:K39"/>
    <mergeCell ref="L39:N39"/>
    <mergeCell ref="O39:R39"/>
    <mergeCell ref="B41:R41"/>
    <mergeCell ref="B42:L42"/>
    <mergeCell ref="M42:R42"/>
    <mergeCell ref="B43:L43"/>
    <mergeCell ref="M43:R43"/>
    <mergeCell ref="B49:L49"/>
    <mergeCell ref="M49:R49"/>
    <mergeCell ref="B50:L50"/>
    <mergeCell ref="M50:R50"/>
    <mergeCell ref="B44:L44"/>
    <mergeCell ref="M44:R44"/>
    <mergeCell ref="B45:L45"/>
    <mergeCell ref="M45:R45"/>
    <mergeCell ref="B46:L48"/>
    <mergeCell ref="M46:R48"/>
  </mergeCells>
  <phoneticPr fontId="2" type="noConversion"/>
  <dataValidations count="3">
    <dataValidation type="list" allowBlank="1" showInputMessage="1" showErrorMessage="1" sqref="O9:R9" xr:uid="{00000000-0002-0000-0800-000000000000}">
      <formula1>"여,부"</formula1>
    </dataValidation>
    <dataValidation type="list" allowBlank="1" showInputMessage="1" showErrorMessage="1" sqref="B33:R33" xr:uid="{00000000-0002-0000-0800-000001000000}">
      <formula1>"□ 신고대상 사업연도에 대한 최소적용제외 특례 선택, ■ 신고대상 사업연도에 대한 최소적용제외 특례 선택"</formula1>
    </dataValidation>
    <dataValidation type="list" allowBlank="1" showInputMessage="1" showErrorMessage="1" sqref="B34:R34" xr:uid="{00000000-0002-0000-0800-000002000000}">
      <formula1>"□ 중요성이 낮은 구성기업에 대한 간소화 계산을 하는 경우 - 중요성이 낮은 구성기업 외의 일반 구성기업에 대한 최소적용제외 특례 선택,■ 중요성이 낮은 구성기업에 대한 간소화 계산을 하는 경우 - 중요성이 낮은 구성기업 외의 일반 구성기업에 대한 최소적용제외 특례 선택"</formula1>
    </dataValidation>
  </dataValidations>
  <pageMargins left="0.59055118110236227" right="0.59055118110236227" top="0.59055118110236227" bottom="0.59055118110236227" header="0.31496062992125978" footer="0.31496062992125978"/>
  <pageSetup paperSize="9" scale="80" fitToHeight="0"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FCD17A2-93B0-4194-9D8B-78D82776B33F}">
          <x14:formula1>
            <xm:f>코드정보!$G$149:$G$157</xm:f>
          </x14:formula1>
          <xm:sqref>O6:R6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BFFAB-6A23-43FE-AF88-0A9869CA383C}">
  <sheetPr codeName="Sheet9">
    <pageSetUpPr fitToPage="1"/>
  </sheetPr>
  <dimension ref="A1:R30"/>
  <sheetViews>
    <sheetView showGridLines="0" view="pageBreakPreview" zoomScale="85" zoomScaleNormal="85" zoomScaleSheetLayoutView="85" workbookViewId="0">
      <selection activeCell="AA30" sqref="AA30"/>
    </sheetView>
  </sheetViews>
  <sheetFormatPr defaultColWidth="8.640625" defaultRowHeight="17.600000000000001" x14ac:dyDescent="0.55000000000000004"/>
  <cols>
    <col min="1" max="1" width="2" style="19" customWidth="1"/>
    <col min="2" max="2" width="14.140625" style="1" customWidth="1"/>
    <col min="3" max="3" width="10.640625" style="1" customWidth="1"/>
    <col min="4" max="4" width="7.5703125" style="1" customWidth="1"/>
    <col min="5" max="5" width="5.92578125" style="1" customWidth="1"/>
    <col min="6" max="6" width="9.5" style="1" customWidth="1"/>
    <col min="7" max="7" width="5.92578125" style="1" customWidth="1"/>
    <col min="8" max="8" width="7.5703125" style="1" customWidth="1"/>
    <col min="9" max="9" width="6.7109375" style="1" customWidth="1"/>
    <col min="10" max="10" width="13.85546875" style="1" customWidth="1"/>
    <col min="11" max="11" width="11" style="1" customWidth="1"/>
    <col min="12" max="12" width="8.5703125" style="1" customWidth="1"/>
    <col min="13" max="13" width="9.42578125" style="1" customWidth="1"/>
    <col min="14" max="14" width="10.140625" style="1" customWidth="1"/>
    <col min="15" max="15" width="5.92578125" style="1" customWidth="1"/>
    <col min="16" max="16" width="8.140625" style="1" customWidth="1"/>
    <col min="17" max="17" width="5.0703125" style="1" customWidth="1"/>
    <col min="18" max="18" width="10.640625" style="1" customWidth="1"/>
    <col min="19" max="19" width="8.640625" style="1" customWidth="1"/>
    <col min="20" max="16384" width="8.640625" style="1"/>
  </cols>
  <sheetData>
    <row r="1" spans="1:18" ht="7.95" customHeight="1" x14ac:dyDescent="0.55000000000000004"/>
    <row r="2" spans="1:18" ht="22.2" customHeight="1" x14ac:dyDescent="0.45">
      <c r="B2" s="230" t="s">
        <v>306</v>
      </c>
      <c r="C2" s="129"/>
      <c r="D2" s="129"/>
      <c r="E2" s="129"/>
      <c r="F2" s="129"/>
      <c r="G2" s="129"/>
      <c r="H2" s="129"/>
      <c r="I2" s="129"/>
      <c r="J2" s="129"/>
      <c r="K2" s="129"/>
      <c r="L2" s="129"/>
      <c r="M2" s="129"/>
      <c r="N2" s="129"/>
      <c r="O2" s="129"/>
      <c r="P2" s="129"/>
      <c r="Q2" s="129"/>
      <c r="R2" s="129"/>
    </row>
    <row r="3" spans="1:18" ht="90" customHeight="1" x14ac:dyDescent="0.45">
      <c r="A3" s="51" t="s">
        <v>813</v>
      </c>
      <c r="B3" s="34" t="s">
        <v>412</v>
      </c>
      <c r="C3" s="121" t="s">
        <v>793</v>
      </c>
      <c r="D3" s="262"/>
      <c r="E3" s="256" t="s">
        <v>413</v>
      </c>
      <c r="F3" s="190"/>
      <c r="G3" s="263" t="s">
        <v>414</v>
      </c>
      <c r="H3" s="122"/>
      <c r="I3" s="190"/>
      <c r="J3" s="263" t="s">
        <v>415</v>
      </c>
      <c r="K3" s="190"/>
      <c r="L3" s="263" t="s">
        <v>416</v>
      </c>
      <c r="M3" s="190"/>
      <c r="N3" s="121" t="s">
        <v>417</v>
      </c>
      <c r="O3" s="122"/>
      <c r="P3" s="122"/>
      <c r="Q3" s="121" t="s">
        <v>418</v>
      </c>
      <c r="R3" s="122"/>
    </row>
    <row r="4" spans="1:18" ht="25.2" customHeight="1" x14ac:dyDescent="0.45">
      <c r="B4" s="35"/>
      <c r="C4" s="248">
        <v>0</v>
      </c>
      <c r="D4" s="140"/>
      <c r="E4" s="248"/>
      <c r="F4" s="140"/>
      <c r="G4" s="248"/>
      <c r="H4" s="129"/>
      <c r="I4" s="140"/>
      <c r="J4" s="261"/>
      <c r="K4" s="140"/>
      <c r="L4" s="248"/>
      <c r="M4" s="140"/>
      <c r="N4" s="245"/>
      <c r="O4" s="129"/>
      <c r="P4" s="129"/>
      <c r="Q4" s="245"/>
      <c r="R4" s="129"/>
    </row>
    <row r="5" spans="1:18" ht="25.2" customHeight="1" x14ac:dyDescent="0.45">
      <c r="B5" s="35"/>
      <c r="C5" s="248">
        <v>0</v>
      </c>
      <c r="D5" s="140"/>
      <c r="E5" s="248"/>
      <c r="F5" s="140"/>
      <c r="G5" s="248"/>
      <c r="H5" s="129"/>
      <c r="I5" s="140"/>
      <c r="J5" s="261"/>
      <c r="K5" s="140"/>
      <c r="L5" s="248"/>
      <c r="M5" s="140"/>
      <c r="N5" s="245"/>
      <c r="O5" s="129"/>
      <c r="P5" s="129"/>
      <c r="Q5" s="245"/>
      <c r="R5" s="129"/>
    </row>
    <row r="6" spans="1:18" ht="25.2" customHeight="1" x14ac:dyDescent="0.45">
      <c r="B6" s="35"/>
      <c r="C6" s="248">
        <v>0</v>
      </c>
      <c r="D6" s="140"/>
      <c r="E6" s="248"/>
      <c r="F6" s="140"/>
      <c r="G6" s="248"/>
      <c r="H6" s="129"/>
      <c r="I6" s="140"/>
      <c r="J6" s="261"/>
      <c r="K6" s="140"/>
      <c r="L6" s="248"/>
      <c r="M6" s="140"/>
      <c r="N6" s="245"/>
      <c r="O6" s="129"/>
      <c r="P6" s="129"/>
      <c r="Q6" s="245"/>
      <c r="R6" s="129"/>
    </row>
    <row r="7" spans="1:18" ht="25.2" customHeight="1" x14ac:dyDescent="0.45">
      <c r="A7" s="52" t="s">
        <v>814</v>
      </c>
      <c r="B7" s="36" t="s">
        <v>419</v>
      </c>
      <c r="C7" s="248">
        <v>0</v>
      </c>
      <c r="D7" s="140"/>
      <c r="E7" s="248"/>
      <c r="F7" s="140"/>
      <c r="G7" s="248"/>
      <c r="H7" s="129"/>
      <c r="I7" s="140"/>
      <c r="J7" s="261"/>
      <c r="K7" s="140"/>
      <c r="L7" s="248"/>
      <c r="M7" s="140"/>
      <c r="N7" s="245"/>
      <c r="O7" s="129"/>
      <c r="P7" s="129"/>
      <c r="Q7" s="245"/>
      <c r="R7" s="129"/>
    </row>
    <row r="8" spans="1:18" ht="19.95" customHeight="1" x14ac:dyDescent="0.55000000000000004">
      <c r="B8" s="3"/>
      <c r="C8" s="3"/>
      <c r="D8" s="3"/>
      <c r="E8" s="3"/>
      <c r="F8" s="3"/>
      <c r="G8" s="3"/>
      <c r="H8" s="3"/>
      <c r="I8" s="3"/>
      <c r="J8" s="4"/>
      <c r="K8" s="4"/>
      <c r="L8" s="4"/>
      <c r="M8" s="4"/>
      <c r="N8" s="4"/>
      <c r="O8" s="4"/>
      <c r="P8" s="4"/>
      <c r="Q8" s="4"/>
      <c r="R8" s="4"/>
    </row>
    <row r="9" spans="1:18" ht="25.2" customHeight="1" x14ac:dyDescent="0.55000000000000004"/>
    <row r="10" spans="1:18" ht="25.2" customHeight="1" x14ac:dyDescent="0.55000000000000004"/>
    <row r="11" spans="1:18" ht="25.2" customHeight="1" x14ac:dyDescent="0.55000000000000004"/>
    <row r="12" spans="1:18" ht="25.2" customHeight="1" x14ac:dyDescent="0.55000000000000004"/>
    <row r="13" spans="1:18" ht="25.2" customHeight="1" x14ac:dyDescent="0.55000000000000004"/>
    <row r="14" spans="1:18" ht="25.2" customHeight="1" x14ac:dyDescent="0.55000000000000004"/>
    <row r="15" spans="1:18" ht="25.2" customHeight="1" x14ac:dyDescent="0.55000000000000004">
      <c r="F15" s="7"/>
      <c r="K15" s="7"/>
    </row>
    <row r="16" spans="1:18" ht="25.2" customHeight="1" x14ac:dyDescent="0.55000000000000004"/>
    <row r="17" ht="25.2" customHeight="1" x14ac:dyDescent="0.55000000000000004"/>
    <row r="18" ht="25.2" customHeight="1" x14ac:dyDescent="0.55000000000000004"/>
    <row r="19" ht="25.2" customHeight="1" x14ac:dyDescent="0.55000000000000004"/>
    <row r="20" ht="25.2" customHeight="1" x14ac:dyDescent="0.55000000000000004"/>
    <row r="21" ht="25.2" customHeight="1" x14ac:dyDescent="0.55000000000000004"/>
    <row r="22" ht="25.2" customHeight="1" x14ac:dyDescent="0.55000000000000004"/>
    <row r="23" ht="25.2" customHeight="1" x14ac:dyDescent="0.55000000000000004"/>
    <row r="24" ht="25.2" customHeight="1" x14ac:dyDescent="0.55000000000000004"/>
    <row r="25" ht="25.2" customHeight="1" x14ac:dyDescent="0.55000000000000004"/>
    <row r="26" ht="25.2" customHeight="1" x14ac:dyDescent="0.55000000000000004"/>
    <row r="27" ht="25.2" customHeight="1" x14ac:dyDescent="0.55000000000000004"/>
    <row r="28" ht="25.2" customHeight="1" x14ac:dyDescent="0.55000000000000004"/>
    <row r="29" ht="25.2" customHeight="1" x14ac:dyDescent="0.55000000000000004"/>
    <row r="30" ht="25.2" customHeight="1" x14ac:dyDescent="0.55000000000000004"/>
  </sheetData>
  <mergeCells count="36">
    <mergeCell ref="G5:I5"/>
    <mergeCell ref="J5:K5"/>
    <mergeCell ref="L5:M5"/>
    <mergeCell ref="N5:P5"/>
    <mergeCell ref="Q5:R5"/>
    <mergeCell ref="B2:R2"/>
    <mergeCell ref="C3:D3"/>
    <mergeCell ref="E3:F3"/>
    <mergeCell ref="G3:I3"/>
    <mergeCell ref="J3:K3"/>
    <mergeCell ref="L3:M3"/>
    <mergeCell ref="N3:P3"/>
    <mergeCell ref="Q3:R3"/>
    <mergeCell ref="N4:P4"/>
    <mergeCell ref="Q4:R4"/>
    <mergeCell ref="C6:D6"/>
    <mergeCell ref="E6:F6"/>
    <mergeCell ref="G6:I6"/>
    <mergeCell ref="J6:K6"/>
    <mergeCell ref="L6:M6"/>
    <mergeCell ref="N6:P6"/>
    <mergeCell ref="Q6:R6"/>
    <mergeCell ref="C4:D4"/>
    <mergeCell ref="E4:F4"/>
    <mergeCell ref="G4:I4"/>
    <mergeCell ref="J4:K4"/>
    <mergeCell ref="L4:M4"/>
    <mergeCell ref="C5:D5"/>
    <mergeCell ref="E5:F5"/>
    <mergeCell ref="N7:P7"/>
    <mergeCell ref="Q7:R7"/>
    <mergeCell ref="C7:D7"/>
    <mergeCell ref="E7:F7"/>
    <mergeCell ref="G7:I7"/>
    <mergeCell ref="J7:K7"/>
    <mergeCell ref="L7:M7"/>
  </mergeCells>
  <phoneticPr fontId="2" type="noConversion"/>
  <pageMargins left="0.59055118110236227" right="0.59055118110236227" top="0.59055118110236227" bottom="0.59055118110236227" header="0.31496062992125978" footer="0.31496062992125978"/>
  <pageSetup paperSize="9" scale="80" fitToHeight="0"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A302C-500D-4F52-919E-63ACE5D62537}">
  <sheetPr codeName="Sheet12">
    <pageSetUpPr fitToPage="1"/>
  </sheetPr>
  <dimension ref="A1:S259"/>
  <sheetViews>
    <sheetView showGridLines="0" view="pageBreakPreview" zoomScale="85" zoomScaleNormal="85" zoomScaleSheetLayoutView="85" workbookViewId="0">
      <selection activeCell="W20" sqref="W20"/>
    </sheetView>
  </sheetViews>
  <sheetFormatPr defaultColWidth="8.640625" defaultRowHeight="17.600000000000001" x14ac:dyDescent="0.55000000000000004"/>
  <cols>
    <col min="1" max="1" width="2" style="19" customWidth="1"/>
    <col min="2" max="2" width="17.5703125" style="1" customWidth="1"/>
    <col min="3" max="3" width="8.140625" style="1" customWidth="1"/>
    <col min="4" max="4" width="7.640625" style="1" customWidth="1"/>
    <col min="5" max="5" width="5.92578125" style="1" customWidth="1"/>
    <col min="6" max="6" width="11" style="1" customWidth="1"/>
    <col min="7" max="7" width="5.92578125" style="1" customWidth="1"/>
    <col min="8" max="8" width="7.5703125" style="1" customWidth="1"/>
    <col min="9" max="9" width="7.42578125" style="1" customWidth="1"/>
    <col min="10" max="10" width="12.7109375" style="1" customWidth="1"/>
    <col min="11" max="11" width="12" style="1" customWidth="1"/>
    <col min="12" max="12" width="8.5703125" style="1" customWidth="1"/>
    <col min="13" max="13" width="10.85546875" style="1" customWidth="1"/>
    <col min="14" max="14" width="13.35546875" style="1" customWidth="1"/>
    <col min="15" max="15" width="5.92578125" style="1" customWidth="1"/>
    <col min="16" max="16" width="12.85546875" style="1" customWidth="1"/>
    <col min="17" max="17" width="5.0703125" style="1" customWidth="1"/>
    <col min="18" max="18" width="12.28515625" style="1" customWidth="1"/>
    <col min="19" max="19" width="8.640625" style="1" customWidth="1"/>
    <col min="20" max="16384" width="8.640625" style="1"/>
  </cols>
  <sheetData>
    <row r="1" spans="1:18" ht="18" thickBot="1" x14ac:dyDescent="0.6">
      <c r="B1" s="85"/>
      <c r="C1" s="85"/>
      <c r="D1" s="85"/>
      <c r="E1" s="85"/>
      <c r="F1" s="85"/>
      <c r="G1" s="85"/>
      <c r="H1" s="85"/>
      <c r="I1" s="85"/>
      <c r="J1" s="85"/>
      <c r="K1" s="85"/>
      <c r="L1" s="85"/>
      <c r="M1" s="85"/>
      <c r="N1" s="85"/>
      <c r="O1" s="85"/>
      <c r="P1" s="85"/>
      <c r="Q1" s="85"/>
      <c r="R1" s="85"/>
    </row>
    <row r="2" spans="1:18" ht="21" customHeight="1" x14ac:dyDescent="0.55000000000000004">
      <c r="A2" s="19">
        <f>MAX($A$1:A1)+1</f>
        <v>1</v>
      </c>
      <c r="B2" s="271" t="s">
        <v>229</v>
      </c>
      <c r="C2" s="271"/>
      <c r="D2" s="271"/>
      <c r="E2" s="271"/>
      <c r="F2" s="271"/>
      <c r="G2" s="271"/>
      <c r="H2" s="271"/>
      <c r="I2" s="271"/>
      <c r="J2" s="271"/>
      <c r="K2" s="271"/>
      <c r="L2" s="271"/>
      <c r="M2" s="271"/>
      <c r="N2" s="271"/>
      <c r="O2" s="86" t="s">
        <v>1176</v>
      </c>
      <c r="P2" s="87"/>
      <c r="Q2" s="87"/>
      <c r="R2" s="87"/>
    </row>
    <row r="3" spans="1:18" ht="31.2" customHeight="1" x14ac:dyDescent="0.45">
      <c r="B3" s="281" t="s">
        <v>420</v>
      </c>
      <c r="C3" s="135"/>
      <c r="D3" s="135"/>
      <c r="E3" s="135"/>
      <c r="F3" s="135"/>
      <c r="G3" s="135"/>
      <c r="H3" s="135"/>
      <c r="I3" s="135"/>
      <c r="J3" s="135"/>
      <c r="K3" s="135"/>
      <c r="L3" s="135"/>
      <c r="M3" s="135"/>
      <c r="N3" s="135"/>
      <c r="O3" s="135"/>
      <c r="P3" s="135"/>
      <c r="Q3" s="135"/>
      <c r="R3" s="135"/>
    </row>
    <row r="4" spans="1:18" ht="21" customHeight="1" thickBot="1" x14ac:dyDescent="0.5">
      <c r="B4" s="282" t="s">
        <v>231</v>
      </c>
      <c r="C4" s="283"/>
      <c r="D4" s="283"/>
      <c r="E4" s="283"/>
      <c r="F4" s="283"/>
      <c r="G4" s="283"/>
      <c r="H4" s="283"/>
      <c r="I4" s="283"/>
      <c r="J4" s="283"/>
      <c r="K4" s="283"/>
      <c r="L4" s="283"/>
      <c r="M4" s="283"/>
      <c r="N4" s="283"/>
      <c r="O4" s="283"/>
      <c r="P4" s="283"/>
      <c r="Q4" s="283"/>
      <c r="R4" s="283"/>
    </row>
    <row r="5" spans="1:18" ht="21" customHeight="1" x14ac:dyDescent="0.55000000000000004">
      <c r="B5" s="284" t="s">
        <v>421</v>
      </c>
      <c r="C5" s="285"/>
      <c r="D5" s="285"/>
      <c r="E5" s="285"/>
      <c r="F5" s="285"/>
      <c r="G5" s="285"/>
      <c r="H5" s="285"/>
      <c r="I5" s="285"/>
      <c r="J5" s="285"/>
      <c r="K5" s="285"/>
      <c r="L5" s="285"/>
      <c r="M5" s="285"/>
      <c r="N5" s="286"/>
      <c r="O5" s="287"/>
      <c r="P5" s="288"/>
      <c r="Q5" s="288"/>
      <c r="R5" s="288"/>
    </row>
    <row r="6" spans="1:18" ht="21" customHeight="1" x14ac:dyDescent="0.45">
      <c r="B6" s="289" t="s">
        <v>422</v>
      </c>
      <c r="C6" s="290"/>
      <c r="D6" s="290"/>
      <c r="E6" s="290"/>
      <c r="F6" s="290"/>
      <c r="G6" s="290"/>
      <c r="H6" s="290"/>
      <c r="I6" s="290"/>
      <c r="J6" s="290"/>
      <c r="K6" s="290"/>
      <c r="L6" s="290"/>
      <c r="M6" s="290"/>
      <c r="N6" s="291"/>
      <c r="O6" s="264"/>
      <c r="P6" s="265"/>
      <c r="Q6" s="265"/>
      <c r="R6" s="265"/>
    </row>
    <row r="7" spans="1:18" ht="21" customHeight="1" thickBot="1" x14ac:dyDescent="0.5">
      <c r="B7" s="266" t="s">
        <v>423</v>
      </c>
      <c r="C7" s="267"/>
      <c r="D7" s="267"/>
      <c r="E7" s="267"/>
      <c r="F7" s="267"/>
      <c r="G7" s="267"/>
      <c r="H7" s="267"/>
      <c r="I7" s="267"/>
      <c r="J7" s="267"/>
      <c r="K7" s="267"/>
      <c r="L7" s="267"/>
      <c r="M7" s="267"/>
      <c r="N7" s="268"/>
      <c r="O7" s="269"/>
      <c r="P7" s="270"/>
      <c r="Q7" s="270"/>
      <c r="R7" s="270"/>
    </row>
    <row r="8" spans="1:18" ht="21" customHeight="1" x14ac:dyDescent="0.45">
      <c r="B8" s="259" t="s">
        <v>424</v>
      </c>
      <c r="C8" s="260"/>
      <c r="D8" s="260"/>
      <c r="E8" s="260"/>
      <c r="F8" s="260"/>
      <c r="G8" s="260"/>
      <c r="H8" s="260"/>
      <c r="I8" s="260"/>
      <c r="J8" s="260"/>
      <c r="K8" s="260"/>
      <c r="L8" s="260"/>
      <c r="M8" s="260"/>
      <c r="N8" s="240"/>
      <c r="O8" s="279"/>
      <c r="P8" s="280"/>
      <c r="Q8" s="280"/>
      <c r="R8" s="280"/>
    </row>
    <row r="9" spans="1:18" ht="21" customHeight="1" x14ac:dyDescent="0.45">
      <c r="B9" s="215" t="s">
        <v>425</v>
      </c>
      <c r="C9" s="129"/>
      <c r="D9" s="129"/>
      <c r="E9" s="129"/>
      <c r="F9" s="129"/>
      <c r="G9" s="129"/>
      <c r="H9" s="129"/>
      <c r="I9" s="129"/>
      <c r="J9" s="129"/>
      <c r="K9" s="129"/>
      <c r="L9" s="129"/>
      <c r="M9" s="129"/>
      <c r="N9" s="140"/>
      <c r="O9" s="273"/>
      <c r="P9" s="274"/>
      <c r="Q9" s="274"/>
      <c r="R9" s="274"/>
    </row>
    <row r="10" spans="1:18" ht="21" customHeight="1" x14ac:dyDescent="0.45">
      <c r="B10" s="215" t="s">
        <v>426</v>
      </c>
      <c r="C10" s="129"/>
      <c r="D10" s="129"/>
      <c r="E10" s="129"/>
      <c r="F10" s="129"/>
      <c r="G10" s="129"/>
      <c r="H10" s="129"/>
      <c r="I10" s="129"/>
      <c r="J10" s="129"/>
      <c r="K10" s="129"/>
      <c r="L10" s="129"/>
      <c r="M10" s="129"/>
      <c r="N10" s="140"/>
      <c r="O10" s="275"/>
      <c r="P10" s="276"/>
      <c r="Q10" s="276"/>
      <c r="R10" s="276"/>
    </row>
    <row r="11" spans="1:18" ht="21" customHeight="1" x14ac:dyDescent="0.45">
      <c r="B11" s="215" t="s">
        <v>427</v>
      </c>
      <c r="C11" s="129"/>
      <c r="D11" s="129"/>
      <c r="E11" s="129"/>
      <c r="F11" s="129"/>
      <c r="G11" s="129"/>
      <c r="H11" s="129"/>
      <c r="I11" s="129"/>
      <c r="J11" s="129"/>
      <c r="K11" s="129"/>
      <c r="L11" s="129"/>
      <c r="M11" s="129"/>
      <c r="N11" s="140"/>
      <c r="O11" s="275"/>
      <c r="P11" s="276"/>
      <c r="Q11" s="276"/>
      <c r="R11" s="276"/>
    </row>
    <row r="12" spans="1:18" ht="21" customHeight="1" x14ac:dyDescent="0.45">
      <c r="B12" s="215" t="s">
        <v>428</v>
      </c>
      <c r="C12" s="129"/>
      <c r="D12" s="129"/>
      <c r="E12" s="129"/>
      <c r="F12" s="129"/>
      <c r="G12" s="129"/>
      <c r="H12" s="129"/>
      <c r="I12" s="129"/>
      <c r="J12" s="129"/>
      <c r="K12" s="129"/>
      <c r="L12" s="129"/>
      <c r="M12" s="129"/>
      <c r="N12" s="140"/>
      <c r="O12" s="275"/>
      <c r="P12" s="276"/>
      <c r="Q12" s="276"/>
      <c r="R12" s="276"/>
    </row>
    <row r="13" spans="1:18" ht="21" customHeight="1" x14ac:dyDescent="0.45">
      <c r="B13" s="215" t="s">
        <v>429</v>
      </c>
      <c r="C13" s="129"/>
      <c r="D13" s="129"/>
      <c r="E13" s="129"/>
      <c r="F13" s="129"/>
      <c r="G13" s="129"/>
      <c r="H13" s="129"/>
      <c r="I13" s="129"/>
      <c r="J13" s="129"/>
      <c r="K13" s="129"/>
      <c r="L13" s="129"/>
      <c r="M13" s="129"/>
      <c r="N13" s="140"/>
      <c r="O13" s="275"/>
      <c r="P13" s="276"/>
      <c r="Q13" s="276"/>
      <c r="R13" s="276"/>
    </row>
    <row r="14" spans="1:18" ht="21" customHeight="1" x14ac:dyDescent="0.45">
      <c r="B14" s="215" t="s">
        <v>430</v>
      </c>
      <c r="C14" s="129"/>
      <c r="D14" s="129"/>
      <c r="E14" s="129"/>
      <c r="F14" s="129"/>
      <c r="G14" s="129"/>
      <c r="H14" s="129"/>
      <c r="I14" s="129"/>
      <c r="J14" s="129"/>
      <c r="K14" s="129"/>
      <c r="L14" s="129"/>
      <c r="M14" s="129"/>
      <c r="N14" s="140"/>
      <c r="O14" s="275"/>
      <c r="P14" s="276"/>
      <c r="Q14" s="276"/>
      <c r="R14" s="276"/>
    </row>
    <row r="15" spans="1:18" ht="21" customHeight="1" x14ac:dyDescent="0.45">
      <c r="B15" s="215" t="s">
        <v>431</v>
      </c>
      <c r="C15" s="129"/>
      <c r="D15" s="129"/>
      <c r="E15" s="129"/>
      <c r="F15" s="129"/>
      <c r="G15" s="129"/>
      <c r="H15" s="129"/>
      <c r="I15" s="129"/>
      <c r="J15" s="129"/>
      <c r="K15" s="129"/>
      <c r="L15" s="129"/>
      <c r="M15" s="129"/>
      <c r="N15" s="140"/>
      <c r="O15" s="275"/>
      <c r="P15" s="276"/>
      <c r="Q15" s="276"/>
      <c r="R15" s="276"/>
    </row>
    <row r="16" spans="1:18" ht="21" customHeight="1" x14ac:dyDescent="0.45">
      <c r="B16" s="215" t="s">
        <v>432</v>
      </c>
      <c r="C16" s="129"/>
      <c r="D16" s="129"/>
      <c r="E16" s="129"/>
      <c r="F16" s="129"/>
      <c r="G16" s="129"/>
      <c r="H16" s="129"/>
      <c r="I16" s="129"/>
      <c r="J16" s="129"/>
      <c r="K16" s="129"/>
      <c r="L16" s="129"/>
      <c r="M16" s="129"/>
      <c r="N16" s="140"/>
      <c r="O16" s="275"/>
      <c r="P16" s="276"/>
      <c r="Q16" s="276"/>
      <c r="R16" s="276"/>
    </row>
    <row r="17" spans="2:18" ht="21" customHeight="1" x14ac:dyDescent="0.45">
      <c r="B17" s="215" t="s">
        <v>433</v>
      </c>
      <c r="C17" s="129"/>
      <c r="D17" s="129"/>
      <c r="E17" s="129"/>
      <c r="F17" s="129"/>
      <c r="G17" s="129"/>
      <c r="H17" s="129"/>
      <c r="I17" s="129"/>
      <c r="J17" s="129"/>
      <c r="K17" s="129"/>
      <c r="L17" s="129"/>
      <c r="M17" s="129"/>
      <c r="N17" s="140"/>
      <c r="O17" s="275"/>
      <c r="P17" s="276"/>
      <c r="Q17" s="276"/>
      <c r="R17" s="276"/>
    </row>
    <row r="18" spans="2:18" ht="21" customHeight="1" x14ac:dyDescent="0.45">
      <c r="B18" s="215" t="s">
        <v>434</v>
      </c>
      <c r="C18" s="129"/>
      <c r="D18" s="129"/>
      <c r="E18" s="129"/>
      <c r="F18" s="129"/>
      <c r="G18" s="129"/>
      <c r="H18" s="129"/>
      <c r="I18" s="129"/>
      <c r="J18" s="129"/>
      <c r="K18" s="129"/>
      <c r="L18" s="129"/>
      <c r="M18" s="129"/>
      <c r="N18" s="140"/>
      <c r="O18" s="275"/>
      <c r="P18" s="276"/>
      <c r="Q18" s="276"/>
      <c r="R18" s="276"/>
    </row>
    <row r="19" spans="2:18" ht="21" customHeight="1" x14ac:dyDescent="0.45">
      <c r="B19" s="215" t="s">
        <v>435</v>
      </c>
      <c r="C19" s="129"/>
      <c r="D19" s="129"/>
      <c r="E19" s="129"/>
      <c r="F19" s="129"/>
      <c r="G19" s="129"/>
      <c r="H19" s="129"/>
      <c r="I19" s="129"/>
      <c r="J19" s="129"/>
      <c r="K19" s="129"/>
      <c r="L19" s="129"/>
      <c r="M19" s="129"/>
      <c r="N19" s="140"/>
      <c r="O19" s="275"/>
      <c r="P19" s="276"/>
      <c r="Q19" s="276"/>
      <c r="R19" s="276"/>
    </row>
    <row r="20" spans="2:18" ht="21" customHeight="1" x14ac:dyDescent="0.45">
      <c r="B20" s="215" t="s">
        <v>436</v>
      </c>
      <c r="C20" s="129"/>
      <c r="D20" s="129"/>
      <c r="E20" s="129"/>
      <c r="F20" s="129"/>
      <c r="G20" s="129"/>
      <c r="H20" s="129"/>
      <c r="I20" s="129"/>
      <c r="J20" s="129"/>
      <c r="K20" s="129"/>
      <c r="L20" s="129"/>
      <c r="M20" s="129"/>
      <c r="N20" s="140"/>
      <c r="O20" s="275"/>
      <c r="P20" s="276"/>
      <c r="Q20" s="276"/>
      <c r="R20" s="276"/>
    </row>
    <row r="21" spans="2:18" ht="21" customHeight="1" x14ac:dyDescent="0.45">
      <c r="B21" s="215" t="s">
        <v>437</v>
      </c>
      <c r="C21" s="129"/>
      <c r="D21" s="129"/>
      <c r="E21" s="129"/>
      <c r="F21" s="129"/>
      <c r="G21" s="129"/>
      <c r="H21" s="129"/>
      <c r="I21" s="129"/>
      <c r="J21" s="129"/>
      <c r="K21" s="129"/>
      <c r="L21" s="129"/>
      <c r="M21" s="129"/>
      <c r="N21" s="140"/>
      <c r="O21" s="275"/>
      <c r="P21" s="276"/>
      <c r="Q21" s="276"/>
      <c r="R21" s="276"/>
    </row>
    <row r="22" spans="2:18" ht="21" customHeight="1" x14ac:dyDescent="0.45">
      <c r="B22" s="215" t="s">
        <v>438</v>
      </c>
      <c r="C22" s="129"/>
      <c r="D22" s="129"/>
      <c r="E22" s="129"/>
      <c r="F22" s="129"/>
      <c r="G22" s="129"/>
      <c r="H22" s="129"/>
      <c r="I22" s="129"/>
      <c r="J22" s="129"/>
      <c r="K22" s="129"/>
      <c r="L22" s="129"/>
      <c r="M22" s="129"/>
      <c r="N22" s="140"/>
      <c r="O22" s="277"/>
      <c r="P22" s="278"/>
      <c r="Q22" s="278"/>
      <c r="R22" s="278"/>
    </row>
    <row r="23" spans="2:18" ht="21" customHeight="1" x14ac:dyDescent="0.55000000000000004">
      <c r="B23" s="25"/>
      <c r="C23" s="25"/>
      <c r="D23" s="25"/>
      <c r="E23" s="25"/>
      <c r="F23" s="25"/>
      <c r="G23" s="25"/>
      <c r="H23" s="25"/>
      <c r="I23" s="25"/>
      <c r="J23" s="25"/>
      <c r="K23" s="25"/>
      <c r="L23" s="25"/>
      <c r="M23" s="25"/>
      <c r="N23" s="25"/>
      <c r="O23" s="25"/>
      <c r="P23" s="25"/>
      <c r="Q23" s="25"/>
      <c r="R23" s="25"/>
    </row>
    <row r="24" spans="2:18" ht="21" customHeight="1" x14ac:dyDescent="0.45">
      <c r="B24" s="272" t="s">
        <v>232</v>
      </c>
      <c r="C24" s="135"/>
      <c r="D24" s="135"/>
      <c r="E24" s="135"/>
      <c r="F24" s="135"/>
      <c r="G24" s="135"/>
      <c r="H24" s="135"/>
      <c r="I24" s="135"/>
      <c r="J24" s="135"/>
      <c r="K24" s="135"/>
      <c r="L24" s="135"/>
      <c r="M24" s="135"/>
      <c r="N24" s="135"/>
      <c r="O24" s="135"/>
      <c r="P24" s="135"/>
      <c r="Q24" s="135"/>
      <c r="R24" s="135"/>
    </row>
    <row r="25" spans="2:18" ht="21" customHeight="1" x14ac:dyDescent="0.45">
      <c r="B25" s="230" t="s">
        <v>233</v>
      </c>
      <c r="C25" s="129"/>
      <c r="D25" s="129"/>
      <c r="E25" s="129"/>
      <c r="F25" s="129"/>
      <c r="G25" s="129"/>
      <c r="H25" s="129"/>
      <c r="I25" s="129"/>
      <c r="J25" s="129"/>
      <c r="K25" s="129"/>
      <c r="L25" s="129"/>
      <c r="M25" s="129"/>
      <c r="N25" s="129"/>
      <c r="O25" s="129"/>
      <c r="P25" s="129"/>
      <c r="Q25" s="129"/>
      <c r="R25" s="129"/>
    </row>
    <row r="26" spans="2:18" ht="21" customHeight="1" x14ac:dyDescent="0.45">
      <c r="B26" s="262" t="s">
        <v>439</v>
      </c>
      <c r="C26" s="122"/>
      <c r="D26" s="190"/>
      <c r="E26" s="256" t="s">
        <v>440</v>
      </c>
      <c r="F26" s="122"/>
      <c r="G26" s="122"/>
      <c r="H26" s="190"/>
      <c r="I26" s="256" t="s">
        <v>441</v>
      </c>
      <c r="J26" s="122"/>
      <c r="K26" s="190"/>
      <c r="L26" s="256" t="s">
        <v>442</v>
      </c>
      <c r="M26" s="122"/>
      <c r="N26" s="190"/>
      <c r="O26" s="121" t="s">
        <v>443</v>
      </c>
      <c r="P26" s="122"/>
      <c r="Q26" s="122"/>
      <c r="R26" s="122"/>
    </row>
    <row r="27" spans="2:18" ht="21" customHeight="1" x14ac:dyDescent="0.45">
      <c r="B27" s="297"/>
      <c r="C27" s="129"/>
      <c r="D27" s="140"/>
      <c r="E27" s="248">
        <f>O58</f>
        <v>0</v>
      </c>
      <c r="F27" s="129"/>
      <c r="G27" s="129"/>
      <c r="H27" s="140"/>
      <c r="I27" s="248"/>
      <c r="J27" s="129"/>
      <c r="K27" s="140"/>
      <c r="L27" s="248">
        <f>O84</f>
        <v>0</v>
      </c>
      <c r="M27" s="129"/>
      <c r="N27" s="140"/>
      <c r="O27" s="251" t="e">
        <f>L27/E27</f>
        <v>#DIV/0!</v>
      </c>
      <c r="P27" s="129"/>
      <c r="Q27" s="129"/>
      <c r="R27" s="129"/>
    </row>
    <row r="28" spans="2:18" ht="21" customHeight="1" x14ac:dyDescent="0.55000000000000004">
      <c r="B28" s="37"/>
      <c r="C28" s="37"/>
      <c r="D28" s="37"/>
      <c r="E28" s="37"/>
      <c r="F28" s="37"/>
      <c r="G28" s="37"/>
      <c r="H28" s="37"/>
      <c r="I28" s="37"/>
      <c r="J28" s="38"/>
      <c r="K28" s="38"/>
      <c r="L28" s="38"/>
      <c r="M28" s="38"/>
      <c r="N28" s="38"/>
      <c r="O28" s="38"/>
      <c r="P28" s="38"/>
      <c r="Q28" s="38"/>
      <c r="R28" s="38"/>
    </row>
    <row r="29" spans="2:18" ht="21" customHeight="1" x14ac:dyDescent="0.45">
      <c r="B29" s="230" t="s">
        <v>234</v>
      </c>
      <c r="C29" s="129"/>
      <c r="D29" s="129"/>
      <c r="E29" s="129"/>
      <c r="F29" s="129"/>
      <c r="G29" s="129"/>
      <c r="H29" s="129"/>
      <c r="I29" s="129"/>
      <c r="J29" s="129"/>
      <c r="K29" s="129"/>
      <c r="L29" s="129"/>
      <c r="M29" s="129"/>
      <c r="N29" s="129"/>
      <c r="O29" s="129"/>
      <c r="P29" s="129"/>
      <c r="Q29" s="129"/>
      <c r="R29" s="129"/>
    </row>
    <row r="30" spans="2:18" ht="21" customHeight="1" x14ac:dyDescent="0.45">
      <c r="B30" s="292" t="s">
        <v>235</v>
      </c>
      <c r="C30" s="129"/>
      <c r="D30" s="129"/>
      <c r="E30" s="129"/>
      <c r="F30" s="129"/>
      <c r="G30" s="129"/>
      <c r="H30" s="129"/>
      <c r="I30" s="129"/>
      <c r="J30" s="129"/>
      <c r="K30" s="129"/>
      <c r="L30" s="129"/>
      <c r="M30" s="129"/>
      <c r="N30" s="140"/>
      <c r="O30" s="293"/>
      <c r="P30" s="122"/>
      <c r="Q30" s="122"/>
      <c r="R30" s="122"/>
    </row>
    <row r="31" spans="2:18" ht="21" customHeight="1" x14ac:dyDescent="0.45">
      <c r="B31" s="292" t="s">
        <v>236</v>
      </c>
      <c r="C31" s="129"/>
      <c r="D31" s="129"/>
      <c r="E31" s="129"/>
      <c r="F31" s="129"/>
      <c r="G31" s="129"/>
      <c r="H31" s="129"/>
      <c r="I31" s="129"/>
      <c r="J31" s="129"/>
      <c r="K31" s="129"/>
      <c r="L31" s="129"/>
      <c r="M31" s="129"/>
      <c r="N31" s="140"/>
      <c r="O31" s="294" t="s">
        <v>444</v>
      </c>
      <c r="P31" s="129"/>
      <c r="Q31" s="129"/>
      <c r="R31" s="129"/>
    </row>
    <row r="32" spans="2:18" ht="21" customHeight="1" x14ac:dyDescent="0.45">
      <c r="B32" s="295" t="s">
        <v>445</v>
      </c>
      <c r="C32" s="129"/>
      <c r="D32" s="129"/>
      <c r="E32" s="129"/>
      <c r="F32" s="129"/>
      <c r="G32" s="129"/>
      <c r="H32" s="129"/>
      <c r="I32" s="129"/>
      <c r="J32" s="129"/>
      <c r="K32" s="129"/>
      <c r="L32" s="129"/>
      <c r="M32" s="129"/>
      <c r="N32" s="140"/>
      <c r="O32" s="296"/>
      <c r="P32" s="129"/>
      <c r="Q32" s="129"/>
      <c r="R32" s="129"/>
    </row>
    <row r="33" spans="2:18" ht="21" customHeight="1" x14ac:dyDescent="0.45">
      <c r="B33" s="298" t="s">
        <v>446</v>
      </c>
      <c r="C33" s="122"/>
      <c r="D33" s="122"/>
      <c r="E33" s="122"/>
      <c r="F33" s="122"/>
      <c r="G33" s="122"/>
      <c r="H33" s="122"/>
      <c r="I33" s="122"/>
      <c r="J33" s="122"/>
      <c r="K33" s="122"/>
      <c r="L33" s="122"/>
      <c r="M33" s="122"/>
      <c r="N33" s="190"/>
      <c r="O33" s="293"/>
      <c r="P33" s="122"/>
      <c r="Q33" s="122"/>
      <c r="R33" s="122"/>
    </row>
    <row r="34" spans="2:18" ht="21" customHeight="1" x14ac:dyDescent="0.45">
      <c r="B34" s="295" t="s">
        <v>447</v>
      </c>
      <c r="C34" s="129"/>
      <c r="D34" s="129"/>
      <c r="E34" s="129"/>
      <c r="F34" s="129"/>
      <c r="G34" s="129"/>
      <c r="H34" s="129"/>
      <c r="I34" s="129"/>
      <c r="J34" s="129"/>
      <c r="K34" s="129"/>
      <c r="L34" s="129"/>
      <c r="M34" s="129"/>
      <c r="N34" s="140"/>
      <c r="O34" s="296"/>
      <c r="P34" s="129"/>
      <c r="Q34" s="129"/>
      <c r="R34" s="129"/>
    </row>
    <row r="35" spans="2:18" ht="21" customHeight="1" x14ac:dyDescent="0.45">
      <c r="B35" s="295" t="s">
        <v>448</v>
      </c>
      <c r="C35" s="129"/>
      <c r="D35" s="129"/>
      <c r="E35" s="129"/>
      <c r="F35" s="129"/>
      <c r="G35" s="129"/>
      <c r="H35" s="129"/>
      <c r="I35" s="129"/>
      <c r="J35" s="129"/>
      <c r="K35" s="129"/>
      <c r="L35" s="129"/>
      <c r="M35" s="129"/>
      <c r="N35" s="140"/>
      <c r="O35" s="296"/>
      <c r="P35" s="129"/>
      <c r="Q35" s="129"/>
      <c r="R35" s="129"/>
    </row>
    <row r="36" spans="2:18" ht="21" customHeight="1" x14ac:dyDescent="0.45">
      <c r="B36" s="295" t="s">
        <v>449</v>
      </c>
      <c r="C36" s="129"/>
      <c r="D36" s="129"/>
      <c r="E36" s="129"/>
      <c r="F36" s="129"/>
      <c r="G36" s="129"/>
      <c r="H36" s="129"/>
      <c r="I36" s="129"/>
      <c r="J36" s="129"/>
      <c r="K36" s="129"/>
      <c r="L36" s="129"/>
      <c r="M36" s="129"/>
      <c r="N36" s="140"/>
      <c r="O36" s="296"/>
      <c r="P36" s="129"/>
      <c r="Q36" s="129"/>
      <c r="R36" s="129"/>
    </row>
    <row r="37" spans="2:18" ht="21" customHeight="1" x14ac:dyDescent="0.45">
      <c r="B37" s="295" t="s">
        <v>450</v>
      </c>
      <c r="C37" s="129"/>
      <c r="D37" s="129"/>
      <c r="E37" s="129"/>
      <c r="F37" s="129"/>
      <c r="G37" s="129"/>
      <c r="H37" s="129"/>
      <c r="I37" s="129"/>
      <c r="J37" s="129"/>
      <c r="K37" s="129"/>
      <c r="L37" s="129"/>
      <c r="M37" s="129"/>
      <c r="N37" s="140"/>
      <c r="O37" s="296"/>
      <c r="P37" s="129"/>
      <c r="Q37" s="129"/>
      <c r="R37" s="129"/>
    </row>
    <row r="38" spans="2:18" ht="21" customHeight="1" x14ac:dyDescent="0.45">
      <c r="B38" s="295" t="s">
        <v>451</v>
      </c>
      <c r="C38" s="129"/>
      <c r="D38" s="129"/>
      <c r="E38" s="129"/>
      <c r="F38" s="129"/>
      <c r="G38" s="129"/>
      <c r="H38" s="129"/>
      <c r="I38" s="129"/>
      <c r="J38" s="129"/>
      <c r="K38" s="129"/>
      <c r="L38" s="129"/>
      <c r="M38" s="129"/>
      <c r="N38" s="140"/>
      <c r="O38" s="296"/>
      <c r="P38" s="129"/>
      <c r="Q38" s="129"/>
      <c r="R38" s="129"/>
    </row>
    <row r="39" spans="2:18" ht="21" customHeight="1" x14ac:dyDescent="0.45">
      <c r="B39" s="295" t="s">
        <v>452</v>
      </c>
      <c r="C39" s="129"/>
      <c r="D39" s="129"/>
      <c r="E39" s="129"/>
      <c r="F39" s="129"/>
      <c r="G39" s="129"/>
      <c r="H39" s="129"/>
      <c r="I39" s="129"/>
      <c r="J39" s="129"/>
      <c r="K39" s="129"/>
      <c r="L39" s="129"/>
      <c r="M39" s="129"/>
      <c r="N39" s="140"/>
      <c r="O39" s="296"/>
      <c r="P39" s="129"/>
      <c r="Q39" s="129"/>
      <c r="R39" s="129"/>
    </row>
    <row r="40" spans="2:18" ht="21" customHeight="1" x14ac:dyDescent="0.45">
      <c r="B40" s="295" t="s">
        <v>453</v>
      </c>
      <c r="C40" s="129"/>
      <c r="D40" s="129"/>
      <c r="E40" s="129"/>
      <c r="F40" s="129"/>
      <c r="G40" s="129"/>
      <c r="H40" s="129"/>
      <c r="I40" s="129"/>
      <c r="J40" s="129"/>
      <c r="K40" s="129"/>
      <c r="L40" s="129"/>
      <c r="M40" s="129"/>
      <c r="N40" s="140"/>
      <c r="O40" s="296"/>
      <c r="P40" s="129"/>
      <c r="Q40" s="129"/>
      <c r="R40" s="129"/>
    </row>
    <row r="41" spans="2:18" ht="21" customHeight="1" x14ac:dyDescent="0.45">
      <c r="B41" s="295" t="s">
        <v>454</v>
      </c>
      <c r="C41" s="129"/>
      <c r="D41" s="129"/>
      <c r="E41" s="129"/>
      <c r="F41" s="129"/>
      <c r="G41" s="129"/>
      <c r="H41" s="129"/>
      <c r="I41" s="129"/>
      <c r="J41" s="129"/>
      <c r="K41" s="129"/>
      <c r="L41" s="129"/>
      <c r="M41" s="129"/>
      <c r="N41" s="140"/>
      <c r="O41" s="296"/>
      <c r="P41" s="129"/>
      <c r="Q41" s="129"/>
      <c r="R41" s="129"/>
    </row>
    <row r="42" spans="2:18" ht="21" customHeight="1" x14ac:dyDescent="0.45">
      <c r="B42" s="295" t="s">
        <v>455</v>
      </c>
      <c r="C42" s="129"/>
      <c r="D42" s="129"/>
      <c r="E42" s="129"/>
      <c r="F42" s="129"/>
      <c r="G42" s="129"/>
      <c r="H42" s="129"/>
      <c r="I42" s="129"/>
      <c r="J42" s="129"/>
      <c r="K42" s="129"/>
      <c r="L42" s="129"/>
      <c r="M42" s="129"/>
      <c r="N42" s="140"/>
      <c r="O42" s="296"/>
      <c r="P42" s="129"/>
      <c r="Q42" s="129"/>
      <c r="R42" s="129"/>
    </row>
    <row r="43" spans="2:18" ht="21" customHeight="1" x14ac:dyDescent="0.45">
      <c r="B43" s="295" t="s">
        <v>456</v>
      </c>
      <c r="C43" s="129"/>
      <c r="D43" s="129"/>
      <c r="E43" s="129"/>
      <c r="F43" s="129"/>
      <c r="G43" s="129"/>
      <c r="H43" s="129"/>
      <c r="I43" s="129"/>
      <c r="J43" s="129"/>
      <c r="K43" s="129"/>
      <c r="L43" s="129"/>
      <c r="M43" s="129"/>
      <c r="N43" s="140"/>
      <c r="O43" s="296"/>
      <c r="P43" s="129"/>
      <c r="Q43" s="129"/>
      <c r="R43" s="129"/>
    </row>
    <row r="44" spans="2:18" ht="21" customHeight="1" x14ac:dyDescent="0.45">
      <c r="B44" s="295" t="s">
        <v>457</v>
      </c>
      <c r="C44" s="129"/>
      <c r="D44" s="129"/>
      <c r="E44" s="129"/>
      <c r="F44" s="129"/>
      <c r="G44" s="129"/>
      <c r="H44" s="129"/>
      <c r="I44" s="129"/>
      <c r="J44" s="129"/>
      <c r="K44" s="129"/>
      <c r="L44" s="129"/>
      <c r="M44" s="129"/>
      <c r="N44" s="140"/>
      <c r="O44" s="296"/>
      <c r="P44" s="129"/>
      <c r="Q44" s="129"/>
      <c r="R44" s="129"/>
    </row>
    <row r="45" spans="2:18" ht="21" customHeight="1" x14ac:dyDescent="0.45">
      <c r="B45" s="295" t="s">
        <v>458</v>
      </c>
      <c r="C45" s="129"/>
      <c r="D45" s="129"/>
      <c r="E45" s="129"/>
      <c r="F45" s="129"/>
      <c r="G45" s="129"/>
      <c r="H45" s="129"/>
      <c r="I45" s="129"/>
      <c r="J45" s="129"/>
      <c r="K45" s="129"/>
      <c r="L45" s="129"/>
      <c r="M45" s="129"/>
      <c r="N45" s="140"/>
      <c r="O45" s="296"/>
      <c r="P45" s="129"/>
      <c r="Q45" s="129"/>
      <c r="R45" s="129"/>
    </row>
    <row r="46" spans="2:18" ht="21" customHeight="1" x14ac:dyDescent="0.45">
      <c r="B46" s="295" t="s">
        <v>459</v>
      </c>
      <c r="C46" s="129"/>
      <c r="D46" s="129"/>
      <c r="E46" s="129"/>
      <c r="F46" s="129"/>
      <c r="G46" s="129"/>
      <c r="H46" s="129"/>
      <c r="I46" s="129"/>
      <c r="J46" s="129"/>
      <c r="K46" s="129"/>
      <c r="L46" s="129"/>
      <c r="M46" s="129"/>
      <c r="N46" s="140"/>
      <c r="O46" s="296"/>
      <c r="P46" s="129"/>
      <c r="Q46" s="129"/>
      <c r="R46" s="129"/>
    </row>
    <row r="47" spans="2:18" ht="21" customHeight="1" x14ac:dyDescent="0.45">
      <c r="B47" s="295" t="s">
        <v>460</v>
      </c>
      <c r="C47" s="129"/>
      <c r="D47" s="129"/>
      <c r="E47" s="129"/>
      <c r="F47" s="129"/>
      <c r="G47" s="129"/>
      <c r="H47" s="129"/>
      <c r="I47" s="129"/>
      <c r="J47" s="129"/>
      <c r="K47" s="129"/>
      <c r="L47" s="129"/>
      <c r="M47" s="129"/>
      <c r="N47" s="140"/>
      <c r="O47" s="296"/>
      <c r="P47" s="129"/>
      <c r="Q47" s="129"/>
      <c r="R47" s="129"/>
    </row>
    <row r="48" spans="2:18" ht="21" customHeight="1" x14ac:dyDescent="0.45">
      <c r="B48" s="295" t="s">
        <v>461</v>
      </c>
      <c r="C48" s="129"/>
      <c r="D48" s="129"/>
      <c r="E48" s="129"/>
      <c r="F48" s="129"/>
      <c r="G48" s="129"/>
      <c r="H48" s="129"/>
      <c r="I48" s="129"/>
      <c r="J48" s="129"/>
      <c r="K48" s="129"/>
      <c r="L48" s="129"/>
      <c r="M48" s="129"/>
      <c r="N48" s="140"/>
      <c r="O48" s="296"/>
      <c r="P48" s="129"/>
      <c r="Q48" s="129"/>
      <c r="R48" s="129"/>
    </row>
    <row r="49" spans="2:18" ht="21" customHeight="1" x14ac:dyDescent="0.45">
      <c r="B49" s="295" t="s">
        <v>462</v>
      </c>
      <c r="C49" s="129"/>
      <c r="D49" s="129"/>
      <c r="E49" s="129"/>
      <c r="F49" s="129"/>
      <c r="G49" s="129"/>
      <c r="H49" s="129"/>
      <c r="I49" s="129"/>
      <c r="J49" s="129"/>
      <c r="K49" s="129"/>
      <c r="L49" s="129"/>
      <c r="M49" s="129"/>
      <c r="N49" s="140"/>
      <c r="O49" s="296"/>
      <c r="P49" s="129"/>
      <c r="Q49" s="129"/>
      <c r="R49" s="129"/>
    </row>
    <row r="50" spans="2:18" ht="21" customHeight="1" x14ac:dyDescent="0.45">
      <c r="B50" s="295" t="s">
        <v>463</v>
      </c>
      <c r="C50" s="129"/>
      <c r="D50" s="129"/>
      <c r="E50" s="129"/>
      <c r="F50" s="129"/>
      <c r="G50" s="129"/>
      <c r="H50" s="129"/>
      <c r="I50" s="129"/>
      <c r="J50" s="129"/>
      <c r="K50" s="129"/>
      <c r="L50" s="129"/>
      <c r="M50" s="129"/>
      <c r="N50" s="140"/>
      <c r="O50" s="296"/>
      <c r="P50" s="129"/>
      <c r="Q50" s="129"/>
      <c r="R50" s="129"/>
    </row>
    <row r="51" spans="2:18" ht="21" customHeight="1" x14ac:dyDescent="0.45">
      <c r="B51" s="295" t="s">
        <v>464</v>
      </c>
      <c r="C51" s="129"/>
      <c r="D51" s="129"/>
      <c r="E51" s="129"/>
      <c r="F51" s="129"/>
      <c r="G51" s="129"/>
      <c r="H51" s="129"/>
      <c r="I51" s="129"/>
      <c r="J51" s="129"/>
      <c r="K51" s="129"/>
      <c r="L51" s="129"/>
      <c r="M51" s="129"/>
      <c r="N51" s="140"/>
      <c r="O51" s="296"/>
      <c r="P51" s="129"/>
      <c r="Q51" s="129"/>
      <c r="R51" s="129"/>
    </row>
    <row r="52" spans="2:18" ht="21" customHeight="1" x14ac:dyDescent="0.45">
      <c r="B52" s="295" t="s">
        <v>465</v>
      </c>
      <c r="C52" s="129"/>
      <c r="D52" s="129"/>
      <c r="E52" s="129"/>
      <c r="F52" s="129"/>
      <c r="G52" s="129"/>
      <c r="H52" s="129"/>
      <c r="I52" s="129"/>
      <c r="J52" s="129"/>
      <c r="K52" s="129"/>
      <c r="L52" s="129"/>
      <c r="M52" s="129"/>
      <c r="N52" s="140"/>
      <c r="O52" s="296"/>
      <c r="P52" s="129"/>
      <c r="Q52" s="129"/>
      <c r="R52" s="129"/>
    </row>
    <row r="53" spans="2:18" ht="21" customHeight="1" x14ac:dyDescent="0.45">
      <c r="B53" s="295" t="s">
        <v>466</v>
      </c>
      <c r="C53" s="129"/>
      <c r="D53" s="129"/>
      <c r="E53" s="129"/>
      <c r="F53" s="129"/>
      <c r="G53" s="129"/>
      <c r="H53" s="129"/>
      <c r="I53" s="129"/>
      <c r="J53" s="129"/>
      <c r="K53" s="129"/>
      <c r="L53" s="129"/>
      <c r="M53" s="129"/>
      <c r="N53" s="140"/>
      <c r="O53" s="296"/>
      <c r="P53" s="129"/>
      <c r="Q53" s="129"/>
      <c r="R53" s="129"/>
    </row>
    <row r="54" spans="2:18" ht="21" customHeight="1" x14ac:dyDescent="0.45">
      <c r="B54" s="295" t="s">
        <v>467</v>
      </c>
      <c r="C54" s="129"/>
      <c r="D54" s="129"/>
      <c r="E54" s="129"/>
      <c r="F54" s="129"/>
      <c r="G54" s="129"/>
      <c r="H54" s="129"/>
      <c r="I54" s="129"/>
      <c r="J54" s="129"/>
      <c r="K54" s="129"/>
      <c r="L54" s="129"/>
      <c r="M54" s="129"/>
      <c r="N54" s="140"/>
      <c r="O54" s="296"/>
      <c r="P54" s="129"/>
      <c r="Q54" s="129"/>
      <c r="R54" s="129"/>
    </row>
    <row r="55" spans="2:18" ht="21" customHeight="1" x14ac:dyDescent="0.45">
      <c r="B55" s="295" t="s">
        <v>468</v>
      </c>
      <c r="C55" s="129"/>
      <c r="D55" s="129"/>
      <c r="E55" s="129"/>
      <c r="F55" s="129"/>
      <c r="G55" s="129"/>
      <c r="H55" s="129"/>
      <c r="I55" s="129"/>
      <c r="J55" s="129"/>
      <c r="K55" s="129"/>
      <c r="L55" s="129"/>
      <c r="M55" s="129"/>
      <c r="N55" s="140"/>
      <c r="O55" s="296"/>
      <c r="P55" s="129"/>
      <c r="Q55" s="129"/>
      <c r="R55" s="129"/>
    </row>
    <row r="56" spans="2:18" ht="21" customHeight="1" x14ac:dyDescent="0.45">
      <c r="B56" s="295" t="s">
        <v>469</v>
      </c>
      <c r="C56" s="129"/>
      <c r="D56" s="129"/>
      <c r="E56" s="129"/>
      <c r="F56" s="129"/>
      <c r="G56" s="129"/>
      <c r="H56" s="129"/>
      <c r="I56" s="129"/>
      <c r="J56" s="129"/>
      <c r="K56" s="129"/>
      <c r="L56" s="129"/>
      <c r="M56" s="129"/>
      <c r="N56" s="140"/>
      <c r="O56" s="296"/>
      <c r="P56" s="129"/>
      <c r="Q56" s="129"/>
      <c r="R56" s="129"/>
    </row>
    <row r="57" spans="2:18" ht="21" customHeight="1" x14ac:dyDescent="0.45">
      <c r="B57" s="295" t="s">
        <v>470</v>
      </c>
      <c r="C57" s="129"/>
      <c r="D57" s="129"/>
      <c r="E57" s="129"/>
      <c r="F57" s="129"/>
      <c r="G57" s="129"/>
      <c r="H57" s="129"/>
      <c r="I57" s="129"/>
      <c r="J57" s="129"/>
      <c r="K57" s="129"/>
      <c r="L57" s="129"/>
      <c r="M57" s="129"/>
      <c r="N57" s="140"/>
      <c r="O57" s="296"/>
      <c r="P57" s="129"/>
      <c r="Q57" s="129"/>
      <c r="R57" s="129"/>
    </row>
    <row r="58" spans="2:18" ht="21" customHeight="1" x14ac:dyDescent="0.45">
      <c r="B58" s="292" t="s">
        <v>237</v>
      </c>
      <c r="C58" s="129"/>
      <c r="D58" s="129"/>
      <c r="E58" s="129"/>
      <c r="F58" s="129"/>
      <c r="G58" s="129"/>
      <c r="H58" s="129"/>
      <c r="I58" s="129"/>
      <c r="J58" s="129"/>
      <c r="K58" s="129"/>
      <c r="L58" s="129"/>
      <c r="M58" s="129"/>
      <c r="N58" s="140"/>
      <c r="O58" s="296">
        <f>SUM(,O32:R57,O30)</f>
        <v>0</v>
      </c>
      <c r="P58" s="129"/>
      <c r="Q58" s="129"/>
      <c r="R58" s="129"/>
    </row>
    <row r="59" spans="2:18" ht="21" customHeight="1" x14ac:dyDescent="0.45">
      <c r="B59" s="37"/>
      <c r="C59" s="27"/>
      <c r="D59" s="27"/>
      <c r="E59" s="27"/>
      <c r="F59" s="27"/>
      <c r="G59" s="27"/>
      <c r="H59" s="27"/>
      <c r="I59" s="27"/>
      <c r="J59" s="38"/>
      <c r="K59" s="38"/>
      <c r="L59" s="38"/>
      <c r="M59" s="38"/>
      <c r="N59" s="38"/>
      <c r="O59" s="38"/>
      <c r="P59" s="38"/>
      <c r="Q59" s="38"/>
      <c r="R59" s="38"/>
    </row>
    <row r="60" spans="2:18" ht="21" customHeight="1" x14ac:dyDescent="0.45">
      <c r="B60" s="272" t="s">
        <v>238</v>
      </c>
      <c r="C60" s="135"/>
      <c r="D60" s="135"/>
      <c r="E60" s="135"/>
      <c r="F60" s="135"/>
      <c r="G60" s="135"/>
      <c r="H60" s="135"/>
      <c r="I60" s="135"/>
      <c r="J60" s="135"/>
      <c r="K60" s="135"/>
      <c r="L60" s="135"/>
      <c r="M60" s="135"/>
      <c r="N60" s="135"/>
      <c r="O60" s="135"/>
      <c r="P60" s="135"/>
      <c r="Q60" s="135"/>
      <c r="R60" s="135"/>
    </row>
    <row r="61" spans="2:18" ht="21" customHeight="1" x14ac:dyDescent="0.45">
      <c r="B61" s="272" t="s">
        <v>239</v>
      </c>
      <c r="C61" s="135"/>
      <c r="D61" s="135"/>
      <c r="E61" s="135"/>
      <c r="F61" s="135"/>
      <c r="G61" s="135"/>
      <c r="H61" s="135"/>
      <c r="I61" s="135"/>
      <c r="J61" s="135"/>
      <c r="K61" s="135"/>
      <c r="L61" s="135"/>
      <c r="M61" s="135"/>
      <c r="N61" s="135"/>
      <c r="O61" s="135"/>
      <c r="P61" s="135"/>
      <c r="Q61" s="135"/>
      <c r="R61" s="135"/>
    </row>
    <row r="62" spans="2:18" ht="21" customHeight="1" x14ac:dyDescent="0.45">
      <c r="B62" s="299" t="s">
        <v>240</v>
      </c>
      <c r="C62" s="135"/>
      <c r="D62" s="135"/>
      <c r="E62" s="135"/>
      <c r="F62" s="135"/>
      <c r="G62" s="135"/>
      <c r="H62" s="135"/>
      <c r="I62" s="135"/>
      <c r="J62" s="135"/>
      <c r="K62" s="135"/>
      <c r="L62" s="135"/>
      <c r="M62" s="135"/>
      <c r="N62" s="187"/>
      <c r="O62" s="296"/>
      <c r="P62" s="129"/>
      <c r="Q62" s="129"/>
      <c r="R62" s="129"/>
    </row>
    <row r="63" spans="2:18" ht="21" customHeight="1" x14ac:dyDescent="0.45">
      <c r="B63" s="299" t="s">
        <v>236</v>
      </c>
      <c r="C63" s="135"/>
      <c r="D63" s="135"/>
      <c r="E63" s="135"/>
      <c r="F63" s="135"/>
      <c r="G63" s="135"/>
      <c r="H63" s="135"/>
      <c r="I63" s="135"/>
      <c r="J63" s="135"/>
      <c r="K63" s="135"/>
      <c r="L63" s="135"/>
      <c r="M63" s="135"/>
      <c r="N63" s="187"/>
      <c r="O63" s="294" t="s">
        <v>444</v>
      </c>
      <c r="P63" s="129"/>
      <c r="Q63" s="129"/>
      <c r="R63" s="129"/>
    </row>
    <row r="64" spans="2:18" ht="21" customHeight="1" x14ac:dyDescent="0.45">
      <c r="B64" s="186" t="s">
        <v>471</v>
      </c>
      <c r="C64" s="135"/>
      <c r="D64" s="135"/>
      <c r="E64" s="135"/>
      <c r="F64" s="135"/>
      <c r="G64" s="135"/>
      <c r="H64" s="135"/>
      <c r="I64" s="135"/>
      <c r="J64" s="135"/>
      <c r="K64" s="135"/>
      <c r="L64" s="135"/>
      <c r="M64" s="135"/>
      <c r="N64" s="187"/>
      <c r="O64" s="296"/>
      <c r="P64" s="129"/>
      <c r="Q64" s="129"/>
      <c r="R64" s="129"/>
    </row>
    <row r="65" spans="2:18" ht="31.95" customHeight="1" x14ac:dyDescent="0.45">
      <c r="B65" s="186" t="s">
        <v>472</v>
      </c>
      <c r="C65" s="135"/>
      <c r="D65" s="135"/>
      <c r="E65" s="135"/>
      <c r="F65" s="135"/>
      <c r="G65" s="135"/>
      <c r="H65" s="135"/>
      <c r="I65" s="135"/>
      <c r="J65" s="135"/>
      <c r="K65" s="135"/>
      <c r="L65" s="135"/>
      <c r="M65" s="135"/>
      <c r="N65" s="187"/>
      <c r="O65" s="296"/>
      <c r="P65" s="129"/>
      <c r="Q65" s="129"/>
      <c r="R65" s="129"/>
    </row>
    <row r="66" spans="2:18" ht="31.95" customHeight="1" x14ac:dyDescent="0.45">
      <c r="B66" s="186" t="s">
        <v>473</v>
      </c>
      <c r="C66" s="135"/>
      <c r="D66" s="135"/>
      <c r="E66" s="135"/>
      <c r="F66" s="135"/>
      <c r="G66" s="135"/>
      <c r="H66" s="135"/>
      <c r="I66" s="135"/>
      <c r="J66" s="135"/>
      <c r="K66" s="135"/>
      <c r="L66" s="135"/>
      <c r="M66" s="135"/>
      <c r="N66" s="187"/>
      <c r="O66" s="296"/>
      <c r="P66" s="129"/>
      <c r="Q66" s="129"/>
      <c r="R66" s="129"/>
    </row>
    <row r="67" spans="2:18" ht="20.5" customHeight="1" x14ac:dyDescent="0.45">
      <c r="B67" s="186" t="s">
        <v>474</v>
      </c>
      <c r="C67" s="135"/>
      <c r="D67" s="135"/>
      <c r="E67" s="135"/>
      <c r="F67" s="135"/>
      <c r="G67" s="135"/>
      <c r="H67" s="135"/>
      <c r="I67" s="135"/>
      <c r="J67" s="135"/>
      <c r="K67" s="135"/>
      <c r="L67" s="135"/>
      <c r="M67" s="135"/>
      <c r="N67" s="187"/>
      <c r="O67" s="296"/>
      <c r="P67" s="129"/>
      <c r="Q67" s="129"/>
      <c r="R67" s="129"/>
    </row>
    <row r="68" spans="2:18" ht="20.5" customHeight="1" x14ac:dyDescent="0.45">
      <c r="B68" s="186" t="s">
        <v>475</v>
      </c>
      <c r="C68" s="135"/>
      <c r="D68" s="135"/>
      <c r="E68" s="135"/>
      <c r="F68" s="135"/>
      <c r="G68" s="135"/>
      <c r="H68" s="135"/>
      <c r="I68" s="135"/>
      <c r="J68" s="135"/>
      <c r="K68" s="135"/>
      <c r="L68" s="135"/>
      <c r="M68" s="135"/>
      <c r="N68" s="187"/>
      <c r="O68" s="296"/>
      <c r="P68" s="129"/>
      <c r="Q68" s="129"/>
      <c r="R68" s="129"/>
    </row>
    <row r="69" spans="2:18" ht="20.5" customHeight="1" x14ac:dyDescent="0.45">
      <c r="B69" s="186" t="s">
        <v>476</v>
      </c>
      <c r="C69" s="135"/>
      <c r="D69" s="135"/>
      <c r="E69" s="135"/>
      <c r="F69" s="135"/>
      <c r="G69" s="135"/>
      <c r="H69" s="135"/>
      <c r="I69" s="135"/>
      <c r="J69" s="135"/>
      <c r="K69" s="135"/>
      <c r="L69" s="135"/>
      <c r="M69" s="135"/>
      <c r="N69" s="187"/>
      <c r="O69" s="296"/>
      <c r="P69" s="129"/>
      <c r="Q69" s="129"/>
      <c r="R69" s="129"/>
    </row>
    <row r="70" spans="2:18" ht="33" customHeight="1" x14ac:dyDescent="0.45">
      <c r="B70" s="186" t="s">
        <v>477</v>
      </c>
      <c r="C70" s="135"/>
      <c r="D70" s="135"/>
      <c r="E70" s="135"/>
      <c r="F70" s="135"/>
      <c r="G70" s="135"/>
      <c r="H70" s="135"/>
      <c r="I70" s="135"/>
      <c r="J70" s="135"/>
      <c r="K70" s="135"/>
      <c r="L70" s="135"/>
      <c r="M70" s="135"/>
      <c r="N70" s="187"/>
      <c r="O70" s="296"/>
      <c r="P70" s="129"/>
      <c r="Q70" s="129"/>
      <c r="R70" s="129"/>
    </row>
    <row r="71" spans="2:18" ht="33" customHeight="1" x14ac:dyDescent="0.45">
      <c r="B71" s="186" t="s">
        <v>478</v>
      </c>
      <c r="C71" s="135"/>
      <c r="D71" s="135"/>
      <c r="E71" s="135"/>
      <c r="F71" s="135"/>
      <c r="G71" s="135"/>
      <c r="H71" s="135"/>
      <c r="I71" s="135"/>
      <c r="J71" s="135"/>
      <c r="K71" s="135"/>
      <c r="L71" s="135"/>
      <c r="M71" s="135"/>
      <c r="N71" s="187"/>
      <c r="O71" s="296"/>
      <c r="P71" s="129"/>
      <c r="Q71" s="129"/>
      <c r="R71" s="129"/>
    </row>
    <row r="72" spans="2:18" ht="20.5" customHeight="1" x14ac:dyDescent="0.45">
      <c r="B72" s="186" t="s">
        <v>479</v>
      </c>
      <c r="C72" s="135"/>
      <c r="D72" s="135"/>
      <c r="E72" s="135"/>
      <c r="F72" s="135"/>
      <c r="G72" s="135"/>
      <c r="H72" s="135"/>
      <c r="I72" s="135"/>
      <c r="J72" s="135"/>
      <c r="K72" s="135"/>
      <c r="L72" s="135"/>
      <c r="M72" s="135"/>
      <c r="N72" s="187"/>
      <c r="O72" s="296"/>
      <c r="P72" s="129"/>
      <c r="Q72" s="129"/>
      <c r="R72" s="129"/>
    </row>
    <row r="73" spans="2:18" ht="20.5" customHeight="1" x14ac:dyDescent="0.45">
      <c r="B73" s="186" t="s">
        <v>480</v>
      </c>
      <c r="C73" s="135"/>
      <c r="D73" s="135"/>
      <c r="E73" s="135"/>
      <c r="F73" s="135"/>
      <c r="G73" s="135"/>
      <c r="H73" s="135"/>
      <c r="I73" s="135"/>
      <c r="J73" s="135"/>
      <c r="K73" s="135"/>
      <c r="L73" s="135"/>
      <c r="M73" s="135"/>
      <c r="N73" s="187"/>
      <c r="O73" s="296"/>
      <c r="P73" s="129"/>
      <c r="Q73" s="129"/>
      <c r="R73" s="129"/>
    </row>
    <row r="74" spans="2:18" ht="20.5" customHeight="1" x14ac:dyDescent="0.45">
      <c r="B74" s="186" t="s">
        <v>481</v>
      </c>
      <c r="C74" s="135"/>
      <c r="D74" s="135"/>
      <c r="E74" s="135"/>
      <c r="F74" s="135"/>
      <c r="G74" s="135"/>
      <c r="H74" s="135"/>
      <c r="I74" s="135"/>
      <c r="J74" s="135"/>
      <c r="K74" s="135"/>
      <c r="L74" s="135"/>
      <c r="M74" s="135"/>
      <c r="N74" s="187"/>
      <c r="O74" s="296"/>
      <c r="P74" s="129"/>
      <c r="Q74" s="129"/>
      <c r="R74" s="129"/>
    </row>
    <row r="75" spans="2:18" ht="20.5" customHeight="1" x14ac:dyDescent="0.45">
      <c r="B75" s="186" t="s">
        <v>482</v>
      </c>
      <c r="C75" s="135"/>
      <c r="D75" s="135"/>
      <c r="E75" s="135"/>
      <c r="F75" s="135"/>
      <c r="G75" s="135"/>
      <c r="H75" s="135"/>
      <c r="I75" s="135"/>
      <c r="J75" s="135"/>
      <c r="K75" s="135"/>
      <c r="L75" s="135"/>
      <c r="M75" s="135"/>
      <c r="N75" s="187"/>
      <c r="O75" s="296"/>
      <c r="P75" s="129"/>
      <c r="Q75" s="129"/>
      <c r="R75" s="129"/>
    </row>
    <row r="76" spans="2:18" ht="20.5" customHeight="1" x14ac:dyDescent="0.45">
      <c r="B76" s="186" t="s">
        <v>483</v>
      </c>
      <c r="C76" s="135"/>
      <c r="D76" s="135"/>
      <c r="E76" s="135"/>
      <c r="F76" s="135"/>
      <c r="G76" s="135"/>
      <c r="H76" s="135"/>
      <c r="I76" s="135"/>
      <c r="J76" s="135"/>
      <c r="K76" s="135"/>
      <c r="L76" s="135"/>
      <c r="M76" s="135"/>
      <c r="N76" s="187"/>
      <c r="O76" s="296"/>
      <c r="P76" s="129"/>
      <c r="Q76" s="129"/>
      <c r="R76" s="129"/>
    </row>
    <row r="77" spans="2:18" ht="20.5" customHeight="1" x14ac:dyDescent="0.45">
      <c r="B77" s="186" t="s">
        <v>484</v>
      </c>
      <c r="C77" s="135"/>
      <c r="D77" s="135"/>
      <c r="E77" s="135"/>
      <c r="F77" s="135"/>
      <c r="G77" s="135"/>
      <c r="H77" s="135"/>
      <c r="I77" s="135"/>
      <c r="J77" s="135"/>
      <c r="K77" s="135"/>
      <c r="L77" s="135"/>
      <c r="M77" s="135"/>
      <c r="N77" s="187"/>
      <c r="O77" s="296"/>
      <c r="P77" s="129"/>
      <c r="Q77" s="129"/>
      <c r="R77" s="129"/>
    </row>
    <row r="78" spans="2:18" ht="20.5" customHeight="1" x14ac:dyDescent="0.45">
      <c r="B78" s="186" t="s">
        <v>485</v>
      </c>
      <c r="C78" s="135"/>
      <c r="D78" s="135"/>
      <c r="E78" s="135"/>
      <c r="F78" s="135"/>
      <c r="G78" s="135"/>
      <c r="H78" s="135"/>
      <c r="I78" s="135"/>
      <c r="J78" s="135"/>
      <c r="K78" s="135"/>
      <c r="L78" s="135"/>
      <c r="M78" s="135"/>
      <c r="N78" s="187"/>
      <c r="O78" s="296"/>
      <c r="P78" s="129"/>
      <c r="Q78" s="129"/>
      <c r="R78" s="129"/>
    </row>
    <row r="79" spans="2:18" ht="20.5" customHeight="1" x14ac:dyDescent="0.45">
      <c r="B79" s="186" t="s">
        <v>486</v>
      </c>
      <c r="C79" s="135"/>
      <c r="D79" s="135"/>
      <c r="E79" s="135"/>
      <c r="F79" s="135"/>
      <c r="G79" s="135"/>
      <c r="H79" s="135"/>
      <c r="I79" s="135"/>
      <c r="J79" s="135"/>
      <c r="K79" s="135"/>
      <c r="L79" s="135"/>
      <c r="M79" s="135"/>
      <c r="N79" s="187"/>
      <c r="O79" s="296"/>
      <c r="P79" s="129"/>
      <c r="Q79" s="129"/>
      <c r="R79" s="129"/>
    </row>
    <row r="80" spans="2:18" ht="20.5" customHeight="1" x14ac:dyDescent="0.45">
      <c r="B80" s="186" t="s">
        <v>487</v>
      </c>
      <c r="C80" s="135"/>
      <c r="D80" s="135"/>
      <c r="E80" s="135"/>
      <c r="F80" s="135"/>
      <c r="G80" s="135"/>
      <c r="H80" s="135"/>
      <c r="I80" s="135"/>
      <c r="J80" s="135"/>
      <c r="K80" s="135"/>
      <c r="L80" s="135"/>
      <c r="M80" s="135"/>
      <c r="N80" s="187"/>
      <c r="O80" s="296">
        <f>O129</f>
        <v>0</v>
      </c>
      <c r="P80" s="129"/>
      <c r="Q80" s="129"/>
      <c r="R80" s="129"/>
    </row>
    <row r="81" spans="1:18" ht="20.5" customHeight="1" x14ac:dyDescent="0.45">
      <c r="B81" s="186" t="s">
        <v>488</v>
      </c>
      <c r="C81" s="135"/>
      <c r="D81" s="135"/>
      <c r="E81" s="135"/>
      <c r="F81" s="135"/>
      <c r="G81" s="135"/>
      <c r="H81" s="135"/>
      <c r="I81" s="135"/>
      <c r="J81" s="135"/>
      <c r="K81" s="135"/>
      <c r="L81" s="135"/>
      <c r="M81" s="135"/>
      <c r="N81" s="187"/>
      <c r="O81" s="296"/>
      <c r="P81" s="129"/>
      <c r="Q81" s="129"/>
      <c r="R81" s="129"/>
    </row>
    <row r="82" spans="1:18" ht="20.5" customHeight="1" x14ac:dyDescent="0.45">
      <c r="B82" s="186" t="s">
        <v>489</v>
      </c>
      <c r="C82" s="135"/>
      <c r="D82" s="135"/>
      <c r="E82" s="135"/>
      <c r="F82" s="135"/>
      <c r="G82" s="135"/>
      <c r="H82" s="135"/>
      <c r="I82" s="135"/>
      <c r="J82" s="135"/>
      <c r="K82" s="135"/>
      <c r="L82" s="135"/>
      <c r="M82" s="135"/>
      <c r="N82" s="187"/>
      <c r="O82" s="296"/>
      <c r="P82" s="129"/>
      <c r="Q82" s="129"/>
      <c r="R82" s="129"/>
    </row>
    <row r="83" spans="1:18" ht="20.5" customHeight="1" x14ac:dyDescent="0.45">
      <c r="B83" s="186" t="s">
        <v>490</v>
      </c>
      <c r="C83" s="135"/>
      <c r="D83" s="135"/>
      <c r="E83" s="135"/>
      <c r="F83" s="135"/>
      <c r="G83" s="135"/>
      <c r="H83" s="135"/>
      <c r="I83" s="135"/>
      <c r="J83" s="135"/>
      <c r="K83" s="135"/>
      <c r="L83" s="135"/>
      <c r="M83" s="135"/>
      <c r="N83" s="187"/>
      <c r="O83" s="296"/>
      <c r="P83" s="129"/>
      <c r="Q83" s="129"/>
      <c r="R83" s="129"/>
    </row>
    <row r="84" spans="1:18" ht="20.5" customHeight="1" x14ac:dyDescent="0.45">
      <c r="B84" s="292" t="s">
        <v>241</v>
      </c>
      <c r="C84" s="129"/>
      <c r="D84" s="129"/>
      <c r="E84" s="129"/>
      <c r="F84" s="129"/>
      <c r="G84" s="129"/>
      <c r="H84" s="129"/>
      <c r="I84" s="129"/>
      <c r="J84" s="129"/>
      <c r="K84" s="129"/>
      <c r="L84" s="129"/>
      <c r="M84" s="129"/>
      <c r="N84" s="140"/>
      <c r="O84" s="296">
        <f>SUM(O62,O64:R83)</f>
        <v>0</v>
      </c>
      <c r="P84" s="129"/>
      <c r="Q84" s="129"/>
      <c r="R84" s="129"/>
    </row>
    <row r="85" spans="1:18" ht="20.5" customHeight="1" x14ac:dyDescent="0.45">
      <c r="B85" s="37"/>
      <c r="C85" s="27"/>
      <c r="D85" s="27"/>
      <c r="E85" s="27"/>
      <c r="F85" s="27"/>
      <c r="G85" s="27"/>
      <c r="H85" s="27"/>
      <c r="I85" s="27"/>
      <c r="J85" s="38"/>
      <c r="K85" s="38"/>
      <c r="L85" s="38"/>
      <c r="M85" s="38"/>
      <c r="N85" s="38"/>
      <c r="O85" s="38"/>
      <c r="P85" s="38"/>
      <c r="Q85" s="38"/>
      <c r="R85" s="38"/>
    </row>
    <row r="86" spans="1:18" ht="20.5" customHeight="1" x14ac:dyDescent="0.45">
      <c r="B86" s="230" t="s">
        <v>242</v>
      </c>
      <c r="C86" s="129"/>
      <c r="D86" s="129"/>
      <c r="E86" s="129"/>
      <c r="F86" s="129"/>
      <c r="G86" s="129"/>
      <c r="H86" s="129"/>
      <c r="I86" s="129"/>
      <c r="J86" s="129"/>
      <c r="K86" s="129"/>
      <c r="L86" s="129"/>
      <c r="M86" s="129"/>
      <c r="N86" s="129"/>
      <c r="O86" s="129"/>
      <c r="P86" s="129"/>
      <c r="Q86" s="129"/>
      <c r="R86" s="129"/>
    </row>
    <row r="87" spans="1:18" ht="20.5" customHeight="1" x14ac:dyDescent="0.45">
      <c r="B87" s="295" t="s">
        <v>491</v>
      </c>
      <c r="C87" s="129"/>
      <c r="D87" s="129"/>
      <c r="E87" s="129"/>
      <c r="F87" s="129"/>
      <c r="G87" s="129"/>
      <c r="H87" s="129"/>
      <c r="I87" s="129"/>
      <c r="J87" s="129"/>
      <c r="K87" s="129"/>
      <c r="L87" s="129"/>
      <c r="M87" s="129"/>
      <c r="N87" s="140"/>
      <c r="O87" s="296"/>
      <c r="P87" s="129"/>
      <c r="Q87" s="129"/>
      <c r="R87" s="129"/>
    </row>
    <row r="88" spans="1:18" ht="20.5" customHeight="1" x14ac:dyDescent="0.45">
      <c r="B88" s="295" t="s">
        <v>492</v>
      </c>
      <c r="C88" s="129"/>
      <c r="D88" s="129"/>
      <c r="E88" s="129"/>
      <c r="F88" s="129"/>
      <c r="G88" s="129"/>
      <c r="H88" s="129"/>
      <c r="I88" s="129"/>
      <c r="J88" s="129"/>
      <c r="K88" s="129"/>
      <c r="L88" s="129"/>
      <c r="M88" s="129"/>
      <c r="N88" s="140"/>
      <c r="O88" s="296"/>
      <c r="P88" s="129"/>
      <c r="Q88" s="129"/>
      <c r="R88" s="129"/>
    </row>
    <row r="89" spans="1:18" ht="20.5" customHeight="1" x14ac:dyDescent="0.45">
      <c r="B89" s="295" t="s">
        <v>493</v>
      </c>
      <c r="C89" s="129"/>
      <c r="D89" s="129"/>
      <c r="E89" s="129"/>
      <c r="F89" s="129"/>
      <c r="G89" s="129"/>
      <c r="H89" s="129"/>
      <c r="I89" s="129"/>
      <c r="J89" s="129"/>
      <c r="K89" s="129"/>
      <c r="L89" s="129"/>
      <c r="M89" s="129"/>
      <c r="N89" s="140"/>
      <c r="O89" s="296"/>
      <c r="P89" s="129"/>
      <c r="Q89" s="129"/>
      <c r="R89" s="129"/>
    </row>
    <row r="90" spans="1:18" ht="20.5" customHeight="1" x14ac:dyDescent="0.45">
      <c r="B90" s="295" t="s">
        <v>494</v>
      </c>
      <c r="C90" s="129"/>
      <c r="D90" s="129"/>
      <c r="E90" s="129"/>
      <c r="F90" s="129"/>
      <c r="G90" s="129"/>
      <c r="H90" s="129"/>
      <c r="I90" s="129"/>
      <c r="J90" s="129"/>
      <c r="K90" s="129"/>
      <c r="L90" s="129"/>
      <c r="M90" s="129"/>
      <c r="N90" s="140"/>
      <c r="O90" s="296">
        <f>O87+O88-O89</f>
        <v>0</v>
      </c>
      <c r="P90" s="129"/>
      <c r="Q90" s="129"/>
      <c r="R90" s="129"/>
    </row>
    <row r="91" spans="1:18" ht="20.5" customHeight="1" x14ac:dyDescent="0.55000000000000004">
      <c r="B91" s="25"/>
      <c r="C91" s="25"/>
      <c r="D91" s="25"/>
      <c r="E91" s="25"/>
      <c r="F91" s="25"/>
      <c r="G91" s="25"/>
      <c r="H91" s="25"/>
      <c r="I91" s="25"/>
      <c r="J91" s="25"/>
      <c r="K91" s="25"/>
      <c r="L91" s="25"/>
      <c r="M91" s="25"/>
      <c r="N91" s="25"/>
      <c r="O91" s="25"/>
      <c r="P91" s="25"/>
      <c r="Q91" s="25"/>
      <c r="R91" s="25"/>
    </row>
    <row r="92" spans="1:18" ht="20.5" customHeight="1" x14ac:dyDescent="0.45">
      <c r="B92" s="230" t="s">
        <v>243</v>
      </c>
      <c r="C92" s="129"/>
      <c r="D92" s="129"/>
      <c r="E92" s="129"/>
      <c r="F92" s="129"/>
      <c r="G92" s="129"/>
      <c r="H92" s="129"/>
      <c r="I92" s="129"/>
      <c r="J92" s="129"/>
      <c r="K92" s="129"/>
      <c r="L92" s="129"/>
      <c r="M92" s="129"/>
      <c r="N92" s="129"/>
      <c r="O92" s="129"/>
      <c r="P92" s="129"/>
      <c r="Q92" s="129"/>
      <c r="R92" s="129"/>
    </row>
    <row r="93" spans="1:18" ht="20.5" customHeight="1" x14ac:dyDescent="0.45">
      <c r="A93" s="19" t="str">
        <f>_xlfn.CONCAT(MAX($A$1:A92),"-1")</f>
        <v>1-1</v>
      </c>
      <c r="B93" s="302" t="s">
        <v>495</v>
      </c>
      <c r="C93" s="129"/>
      <c r="D93" s="140"/>
      <c r="E93" s="303" t="s">
        <v>496</v>
      </c>
      <c r="F93" s="129"/>
      <c r="G93" s="129"/>
      <c r="H93" s="129"/>
      <c r="I93" s="140"/>
      <c r="J93" s="300" t="s">
        <v>497</v>
      </c>
      <c r="K93" s="129"/>
      <c r="L93" s="129"/>
      <c r="M93" s="129"/>
      <c r="N93" s="129"/>
      <c r="O93" s="129"/>
      <c r="P93" s="129"/>
      <c r="Q93" s="129"/>
      <c r="R93" s="129"/>
    </row>
    <row r="94" spans="1:18" ht="20.5" customHeight="1" x14ac:dyDescent="0.45">
      <c r="B94" s="300"/>
      <c r="C94" s="129"/>
      <c r="D94" s="140"/>
      <c r="E94" s="128"/>
      <c r="F94" s="129"/>
      <c r="G94" s="129"/>
      <c r="H94" s="129"/>
      <c r="I94" s="140"/>
      <c r="J94" s="296"/>
      <c r="K94" s="129"/>
      <c r="L94" s="129"/>
      <c r="M94" s="129"/>
      <c r="N94" s="129"/>
      <c r="O94" s="129"/>
      <c r="P94" s="129"/>
      <c r="Q94" s="129"/>
      <c r="R94" s="129"/>
    </row>
    <row r="95" spans="1:18" ht="20.5" customHeight="1" x14ac:dyDescent="0.45">
      <c r="B95" s="300"/>
      <c r="C95" s="129"/>
      <c r="D95" s="140"/>
      <c r="E95" s="128"/>
      <c r="F95" s="129"/>
      <c r="G95" s="129"/>
      <c r="H95" s="129"/>
      <c r="I95" s="140"/>
      <c r="J95" s="296"/>
      <c r="K95" s="129"/>
      <c r="L95" s="129"/>
      <c r="M95" s="129"/>
      <c r="N95" s="129"/>
      <c r="O95" s="129"/>
      <c r="P95" s="129"/>
      <c r="Q95" s="129"/>
      <c r="R95" s="129"/>
    </row>
    <row r="96" spans="1:18" ht="20.5" customHeight="1" x14ac:dyDescent="0.45">
      <c r="A96" s="19" t="str">
        <f>_xlfn.CONCAT(MAX($A$1:A91),"-2")</f>
        <v>1-2</v>
      </c>
      <c r="B96" s="301" t="s">
        <v>419</v>
      </c>
      <c r="C96" s="129"/>
      <c r="D96" s="129"/>
      <c r="E96" s="129"/>
      <c r="F96" s="129"/>
      <c r="G96" s="129"/>
      <c r="H96" s="129"/>
      <c r="I96" s="140"/>
      <c r="J96" s="296"/>
      <c r="K96" s="129"/>
      <c r="L96" s="129"/>
      <c r="M96" s="129"/>
      <c r="N96" s="129"/>
      <c r="O96" s="129"/>
      <c r="P96" s="129"/>
      <c r="Q96" s="129"/>
      <c r="R96" s="129"/>
    </row>
    <row r="97" spans="2:18" ht="20.5" customHeight="1" x14ac:dyDescent="0.55000000000000004">
      <c r="B97" s="25"/>
      <c r="C97" s="25"/>
      <c r="D97" s="25"/>
      <c r="E97" s="25"/>
      <c r="F97" s="25"/>
      <c r="G97" s="25"/>
      <c r="H97" s="25"/>
      <c r="I97" s="25"/>
      <c r="J97" s="25"/>
      <c r="K97" s="25"/>
      <c r="L97" s="25"/>
      <c r="M97" s="25"/>
      <c r="N97" s="25"/>
      <c r="O97" s="25"/>
      <c r="P97" s="25"/>
      <c r="Q97" s="25"/>
      <c r="R97" s="25"/>
    </row>
    <row r="98" spans="2:18" ht="20.5" customHeight="1" x14ac:dyDescent="0.45">
      <c r="B98" s="272" t="s">
        <v>244</v>
      </c>
      <c r="C98" s="135"/>
      <c r="D98" s="135"/>
      <c r="E98" s="135"/>
      <c r="F98" s="135"/>
      <c r="G98" s="135"/>
      <c r="H98" s="135"/>
      <c r="I98" s="135"/>
      <c r="J98" s="135"/>
      <c r="K98" s="135"/>
      <c r="L98" s="135"/>
      <c r="M98" s="135"/>
      <c r="N98" s="135"/>
      <c r="O98" s="135"/>
      <c r="P98" s="135"/>
      <c r="Q98" s="135"/>
      <c r="R98" s="135"/>
    </row>
    <row r="99" spans="2:18" ht="20.5" customHeight="1" x14ac:dyDescent="0.45">
      <c r="B99" s="272" t="s">
        <v>245</v>
      </c>
      <c r="C99" s="135"/>
      <c r="D99" s="135"/>
      <c r="E99" s="135"/>
      <c r="F99" s="135"/>
      <c r="G99" s="135"/>
      <c r="H99" s="135"/>
      <c r="I99" s="135"/>
      <c r="J99" s="135"/>
      <c r="K99" s="135"/>
      <c r="L99" s="135"/>
      <c r="M99" s="135"/>
      <c r="N99" s="135"/>
      <c r="O99" s="135"/>
      <c r="P99" s="135"/>
      <c r="Q99" s="135"/>
      <c r="R99" s="135"/>
    </row>
    <row r="100" spans="2:18" ht="20.5" customHeight="1" x14ac:dyDescent="0.45">
      <c r="B100" s="272" t="s">
        <v>246</v>
      </c>
      <c r="C100" s="135"/>
      <c r="D100" s="135"/>
      <c r="E100" s="135"/>
      <c r="F100" s="135"/>
      <c r="G100" s="135"/>
      <c r="H100" s="135"/>
      <c r="I100" s="135"/>
      <c r="J100" s="135"/>
      <c r="K100" s="135"/>
      <c r="L100" s="135"/>
      <c r="M100" s="135"/>
      <c r="N100" s="135"/>
      <c r="O100" s="135"/>
      <c r="P100" s="135"/>
      <c r="Q100" s="135"/>
      <c r="R100" s="135"/>
    </row>
    <row r="101" spans="2:18" ht="20.5" customHeight="1" x14ac:dyDescent="0.45">
      <c r="B101" s="304" t="s">
        <v>498</v>
      </c>
      <c r="C101" s="135"/>
      <c r="D101" s="187"/>
      <c r="E101" s="305" t="s">
        <v>499</v>
      </c>
      <c r="F101" s="135"/>
      <c r="G101" s="135"/>
      <c r="H101" s="135"/>
      <c r="I101" s="135"/>
      <c r="J101" s="135"/>
      <c r="K101" s="135"/>
      <c r="L101" s="135"/>
      <c r="M101" s="135"/>
      <c r="N101" s="187"/>
      <c r="O101" s="306"/>
      <c r="P101" s="135"/>
      <c r="Q101" s="135"/>
      <c r="R101" s="135"/>
    </row>
    <row r="102" spans="2:18" ht="20.5" customHeight="1" x14ac:dyDescent="0.45">
      <c r="B102" s="188"/>
      <c r="C102" s="188"/>
      <c r="D102" s="189"/>
      <c r="E102" s="305" t="s">
        <v>500</v>
      </c>
      <c r="F102" s="135"/>
      <c r="G102" s="135"/>
      <c r="H102" s="135"/>
      <c r="I102" s="135"/>
      <c r="J102" s="135"/>
      <c r="K102" s="135"/>
      <c r="L102" s="135"/>
      <c r="M102" s="135"/>
      <c r="N102" s="187"/>
      <c r="O102" s="306"/>
      <c r="P102" s="135"/>
      <c r="Q102" s="135"/>
      <c r="R102" s="135"/>
    </row>
    <row r="103" spans="2:18" ht="20.5" customHeight="1" x14ac:dyDescent="0.45">
      <c r="B103" s="188"/>
      <c r="C103" s="188"/>
      <c r="D103" s="189"/>
      <c r="E103" s="305" t="s">
        <v>501</v>
      </c>
      <c r="F103" s="135"/>
      <c r="G103" s="135"/>
      <c r="H103" s="135"/>
      <c r="I103" s="135"/>
      <c r="J103" s="135"/>
      <c r="K103" s="135"/>
      <c r="L103" s="135"/>
      <c r="M103" s="135"/>
      <c r="N103" s="187"/>
      <c r="O103" s="306"/>
      <c r="P103" s="135"/>
      <c r="Q103" s="135"/>
      <c r="R103" s="135"/>
    </row>
    <row r="104" spans="2:18" ht="20.5" customHeight="1" x14ac:dyDescent="0.45">
      <c r="B104" s="122"/>
      <c r="C104" s="122"/>
      <c r="D104" s="190"/>
      <c r="E104" s="307" t="s">
        <v>502</v>
      </c>
      <c r="F104" s="129"/>
      <c r="G104" s="129"/>
      <c r="H104" s="129"/>
      <c r="I104" s="129"/>
      <c r="J104" s="129"/>
      <c r="K104" s="129"/>
      <c r="L104" s="129"/>
      <c r="M104" s="129"/>
      <c r="N104" s="140"/>
      <c r="O104" s="306">
        <f>O101-O102+O103</f>
        <v>0</v>
      </c>
      <c r="P104" s="135"/>
      <c r="Q104" s="135"/>
      <c r="R104" s="135"/>
    </row>
    <row r="105" spans="2:18" ht="20.5" customHeight="1" x14ac:dyDescent="0.45">
      <c r="B105" s="295" t="s">
        <v>503</v>
      </c>
      <c r="C105" s="129"/>
      <c r="D105" s="129"/>
      <c r="E105" s="129"/>
      <c r="F105" s="129"/>
      <c r="G105" s="129"/>
      <c r="H105" s="129"/>
      <c r="I105" s="129"/>
      <c r="J105" s="129"/>
      <c r="K105" s="129"/>
      <c r="L105" s="129"/>
      <c r="M105" s="129"/>
      <c r="N105" s="140"/>
      <c r="O105" s="306">
        <f>O80</f>
        <v>0</v>
      </c>
      <c r="P105" s="135"/>
      <c r="Q105" s="135"/>
      <c r="R105" s="135"/>
    </row>
    <row r="106" spans="2:18" ht="20.5" customHeight="1" x14ac:dyDescent="0.45">
      <c r="B106" s="308" t="s">
        <v>504</v>
      </c>
      <c r="C106" s="135"/>
      <c r="D106" s="187"/>
      <c r="E106" s="305" t="s">
        <v>505</v>
      </c>
      <c r="F106" s="135"/>
      <c r="G106" s="135"/>
      <c r="H106" s="135"/>
      <c r="I106" s="135"/>
      <c r="J106" s="135"/>
      <c r="K106" s="135"/>
      <c r="L106" s="135"/>
      <c r="M106" s="135"/>
      <c r="N106" s="187"/>
      <c r="O106" s="306">
        <f>O104+O105</f>
        <v>0</v>
      </c>
      <c r="P106" s="135"/>
      <c r="Q106" s="135"/>
      <c r="R106" s="135"/>
    </row>
    <row r="107" spans="2:18" ht="20.5" customHeight="1" x14ac:dyDescent="0.45">
      <c r="B107" s="188"/>
      <c r="C107" s="188"/>
      <c r="D107" s="189"/>
      <c r="E107" s="305" t="s">
        <v>506</v>
      </c>
      <c r="F107" s="135"/>
      <c r="G107" s="135"/>
      <c r="H107" s="135"/>
      <c r="I107" s="135"/>
      <c r="J107" s="135"/>
      <c r="K107" s="135"/>
      <c r="L107" s="135"/>
      <c r="M107" s="135"/>
      <c r="N107" s="187"/>
      <c r="O107" s="306"/>
      <c r="P107" s="135"/>
      <c r="Q107" s="135"/>
      <c r="R107" s="135"/>
    </row>
    <row r="108" spans="2:18" ht="20.5" customHeight="1" x14ac:dyDescent="0.45">
      <c r="B108" s="122"/>
      <c r="C108" s="122"/>
      <c r="D108" s="190"/>
      <c r="E108" s="307" t="s">
        <v>507</v>
      </c>
      <c r="F108" s="129"/>
      <c r="G108" s="129"/>
      <c r="H108" s="129"/>
      <c r="I108" s="129"/>
      <c r="J108" s="129"/>
      <c r="K108" s="129"/>
      <c r="L108" s="129"/>
      <c r="M108" s="129"/>
      <c r="N108" s="140"/>
      <c r="O108" s="306"/>
      <c r="P108" s="135"/>
      <c r="Q108" s="135"/>
      <c r="R108" s="135"/>
    </row>
    <row r="109" spans="2:18" ht="20.5" customHeight="1" x14ac:dyDescent="0.45">
      <c r="B109" s="295" t="s">
        <v>508</v>
      </c>
      <c r="C109" s="129"/>
      <c r="D109" s="129"/>
      <c r="E109" s="129"/>
      <c r="F109" s="129"/>
      <c r="G109" s="129"/>
      <c r="H109" s="129"/>
      <c r="I109" s="129"/>
      <c r="J109" s="129"/>
      <c r="K109" s="129"/>
      <c r="L109" s="129"/>
      <c r="M109" s="129"/>
      <c r="N109" s="140"/>
      <c r="O109" s="245">
        <f>O106+O107-O108</f>
        <v>0</v>
      </c>
      <c r="P109" s="129"/>
      <c r="Q109" s="129"/>
      <c r="R109" s="129"/>
    </row>
    <row r="110" spans="2:18" ht="20.5" customHeight="1" x14ac:dyDescent="0.55000000000000004">
      <c r="B110" s="25"/>
      <c r="C110" s="25"/>
      <c r="D110" s="25"/>
      <c r="E110" s="25"/>
      <c r="F110" s="25"/>
      <c r="G110" s="25"/>
      <c r="H110" s="25"/>
      <c r="I110" s="25"/>
      <c r="J110" s="25"/>
      <c r="K110" s="25"/>
      <c r="L110" s="25"/>
      <c r="M110" s="25"/>
      <c r="N110" s="25"/>
      <c r="O110" s="25"/>
      <c r="P110" s="25"/>
      <c r="Q110" s="25"/>
      <c r="R110" s="25"/>
    </row>
    <row r="111" spans="2:18" ht="20.5" customHeight="1" x14ac:dyDescent="0.45">
      <c r="B111" s="272" t="s">
        <v>247</v>
      </c>
      <c r="C111" s="135"/>
      <c r="D111" s="135"/>
      <c r="E111" s="135"/>
      <c r="F111" s="135"/>
      <c r="G111" s="135"/>
      <c r="H111" s="135"/>
      <c r="I111" s="135"/>
      <c r="J111" s="135"/>
      <c r="K111" s="135"/>
      <c r="L111" s="135"/>
      <c r="M111" s="135"/>
      <c r="N111" s="135"/>
      <c r="O111" s="135"/>
      <c r="P111" s="135"/>
      <c r="Q111" s="135"/>
      <c r="R111" s="135"/>
    </row>
    <row r="112" spans="2:18" ht="20.5" customHeight="1" x14ac:dyDescent="0.45">
      <c r="B112" s="299" t="s">
        <v>248</v>
      </c>
      <c r="C112" s="135"/>
      <c r="D112" s="135"/>
      <c r="E112" s="135"/>
      <c r="F112" s="135"/>
      <c r="G112" s="135"/>
      <c r="H112" s="135"/>
      <c r="I112" s="135"/>
      <c r="J112" s="135"/>
      <c r="K112" s="135"/>
      <c r="L112" s="135"/>
      <c r="M112" s="135"/>
      <c r="N112" s="187"/>
      <c r="O112" s="310" t="s">
        <v>444</v>
      </c>
      <c r="P112" s="135"/>
      <c r="Q112" s="135"/>
      <c r="R112" s="135"/>
    </row>
    <row r="113" spans="2:18" ht="20.5" customHeight="1" x14ac:dyDescent="0.45">
      <c r="B113" s="309" t="s">
        <v>509</v>
      </c>
      <c r="C113" s="135"/>
      <c r="D113" s="135"/>
      <c r="E113" s="135"/>
      <c r="F113" s="135"/>
      <c r="G113" s="135"/>
      <c r="H113" s="135"/>
      <c r="I113" s="135"/>
      <c r="J113" s="135"/>
      <c r="K113" s="135"/>
      <c r="L113" s="135"/>
      <c r="M113" s="135"/>
      <c r="N113" s="187"/>
      <c r="O113" s="306"/>
      <c r="P113" s="135"/>
      <c r="Q113" s="135"/>
      <c r="R113" s="135"/>
    </row>
    <row r="114" spans="2:18" ht="20.5" customHeight="1" x14ac:dyDescent="0.45">
      <c r="B114" s="309" t="s">
        <v>510</v>
      </c>
      <c r="C114" s="135"/>
      <c r="D114" s="135"/>
      <c r="E114" s="135"/>
      <c r="F114" s="135"/>
      <c r="G114" s="135"/>
      <c r="H114" s="135"/>
      <c r="I114" s="135"/>
      <c r="J114" s="135"/>
      <c r="K114" s="135"/>
      <c r="L114" s="135"/>
      <c r="M114" s="135"/>
      <c r="N114" s="187"/>
      <c r="O114" s="306"/>
      <c r="P114" s="135"/>
      <c r="Q114" s="135"/>
      <c r="R114" s="135"/>
    </row>
    <row r="115" spans="2:18" ht="20.5" customHeight="1" x14ac:dyDescent="0.45">
      <c r="B115" s="309" t="s">
        <v>511</v>
      </c>
      <c r="C115" s="135"/>
      <c r="D115" s="135"/>
      <c r="E115" s="135"/>
      <c r="F115" s="135"/>
      <c r="G115" s="135"/>
      <c r="H115" s="135"/>
      <c r="I115" s="135"/>
      <c r="J115" s="135"/>
      <c r="K115" s="135"/>
      <c r="L115" s="135"/>
      <c r="M115" s="135"/>
      <c r="N115" s="187"/>
      <c r="O115" s="306"/>
      <c r="P115" s="135"/>
      <c r="Q115" s="135"/>
      <c r="R115" s="135"/>
    </row>
    <row r="116" spans="2:18" ht="20.5" customHeight="1" x14ac:dyDescent="0.45">
      <c r="B116" s="309" t="s">
        <v>512</v>
      </c>
      <c r="C116" s="135"/>
      <c r="D116" s="135"/>
      <c r="E116" s="135"/>
      <c r="F116" s="135"/>
      <c r="G116" s="135"/>
      <c r="H116" s="135"/>
      <c r="I116" s="135"/>
      <c r="J116" s="135"/>
      <c r="K116" s="135"/>
      <c r="L116" s="135"/>
      <c r="M116" s="135"/>
      <c r="N116" s="187"/>
      <c r="O116" s="306"/>
      <c r="P116" s="135"/>
      <c r="Q116" s="135"/>
      <c r="R116" s="135"/>
    </row>
    <row r="117" spans="2:18" ht="20.5" customHeight="1" x14ac:dyDescent="0.45">
      <c r="B117" s="309" t="s">
        <v>513</v>
      </c>
      <c r="C117" s="135"/>
      <c r="D117" s="135"/>
      <c r="E117" s="135"/>
      <c r="F117" s="135"/>
      <c r="G117" s="135"/>
      <c r="H117" s="135"/>
      <c r="I117" s="135"/>
      <c r="J117" s="135"/>
      <c r="K117" s="135"/>
      <c r="L117" s="135"/>
      <c r="M117" s="135"/>
      <c r="N117" s="187"/>
      <c r="O117" s="306"/>
      <c r="P117" s="135"/>
      <c r="Q117" s="135"/>
      <c r="R117" s="135"/>
    </row>
    <row r="118" spans="2:18" ht="20.5" customHeight="1" x14ac:dyDescent="0.45">
      <c r="B118" s="309" t="s">
        <v>514</v>
      </c>
      <c r="C118" s="135"/>
      <c r="D118" s="135"/>
      <c r="E118" s="135"/>
      <c r="F118" s="135"/>
      <c r="G118" s="135"/>
      <c r="H118" s="135"/>
      <c r="I118" s="135"/>
      <c r="J118" s="135"/>
      <c r="K118" s="135"/>
      <c r="L118" s="135"/>
      <c r="M118" s="135"/>
      <c r="N118" s="187"/>
      <c r="O118" s="306"/>
      <c r="P118" s="135"/>
      <c r="Q118" s="135"/>
      <c r="R118" s="135"/>
    </row>
    <row r="119" spans="2:18" ht="20.5" customHeight="1" x14ac:dyDescent="0.45">
      <c r="B119" s="309" t="s">
        <v>515</v>
      </c>
      <c r="C119" s="135"/>
      <c r="D119" s="135"/>
      <c r="E119" s="135"/>
      <c r="F119" s="135"/>
      <c r="G119" s="135"/>
      <c r="H119" s="135"/>
      <c r="I119" s="135"/>
      <c r="J119" s="135"/>
      <c r="K119" s="135"/>
      <c r="L119" s="135"/>
      <c r="M119" s="135"/>
      <c r="N119" s="187"/>
      <c r="O119" s="306"/>
      <c r="P119" s="135"/>
      <c r="Q119" s="135"/>
      <c r="R119" s="135"/>
    </row>
    <row r="120" spans="2:18" ht="20.5" customHeight="1" x14ac:dyDescent="0.45">
      <c r="B120" s="309" t="s">
        <v>516</v>
      </c>
      <c r="C120" s="135"/>
      <c r="D120" s="135"/>
      <c r="E120" s="135"/>
      <c r="F120" s="135"/>
      <c r="G120" s="135"/>
      <c r="H120" s="135"/>
      <c r="I120" s="135"/>
      <c r="J120" s="135"/>
      <c r="K120" s="135"/>
      <c r="L120" s="135"/>
      <c r="M120" s="135"/>
      <c r="N120" s="187"/>
      <c r="O120" s="306"/>
      <c r="P120" s="135"/>
      <c r="Q120" s="135"/>
      <c r="R120" s="135"/>
    </row>
    <row r="121" spans="2:18" ht="20.5" customHeight="1" x14ac:dyDescent="0.45">
      <c r="B121" s="309" t="s">
        <v>517</v>
      </c>
      <c r="C121" s="135"/>
      <c r="D121" s="135"/>
      <c r="E121" s="135"/>
      <c r="F121" s="135"/>
      <c r="G121" s="135"/>
      <c r="H121" s="135"/>
      <c r="I121" s="135"/>
      <c r="J121" s="135"/>
      <c r="K121" s="135"/>
      <c r="L121" s="135"/>
      <c r="M121" s="135"/>
      <c r="N121" s="187"/>
      <c r="O121" s="306"/>
      <c r="P121" s="135"/>
      <c r="Q121" s="135"/>
      <c r="R121" s="135"/>
    </row>
    <row r="122" spans="2:18" ht="20.5" customHeight="1" x14ac:dyDescent="0.45">
      <c r="B122" s="309" t="s">
        <v>518</v>
      </c>
      <c r="C122" s="135"/>
      <c r="D122" s="135"/>
      <c r="E122" s="135"/>
      <c r="F122" s="135"/>
      <c r="G122" s="135"/>
      <c r="H122" s="135"/>
      <c r="I122" s="135"/>
      <c r="J122" s="135"/>
      <c r="K122" s="135"/>
      <c r="L122" s="135"/>
      <c r="M122" s="135"/>
      <c r="N122" s="187"/>
      <c r="O122" s="306"/>
      <c r="P122" s="135"/>
      <c r="Q122" s="135"/>
      <c r="R122" s="135"/>
    </row>
    <row r="123" spans="2:18" ht="20.5" customHeight="1" x14ac:dyDescent="0.45">
      <c r="B123" s="309" t="s">
        <v>519</v>
      </c>
      <c r="C123" s="135"/>
      <c r="D123" s="135"/>
      <c r="E123" s="135"/>
      <c r="F123" s="135"/>
      <c r="G123" s="135"/>
      <c r="H123" s="135"/>
      <c r="I123" s="135"/>
      <c r="J123" s="135"/>
      <c r="K123" s="135"/>
      <c r="L123" s="135"/>
      <c r="M123" s="135"/>
      <c r="N123" s="187"/>
      <c r="O123" s="306"/>
      <c r="P123" s="135"/>
      <c r="Q123" s="135"/>
      <c r="R123" s="135"/>
    </row>
    <row r="124" spans="2:18" ht="20.5" customHeight="1" x14ac:dyDescent="0.45">
      <c r="B124" s="309" t="s">
        <v>520</v>
      </c>
      <c r="C124" s="135"/>
      <c r="D124" s="135"/>
      <c r="E124" s="135"/>
      <c r="F124" s="135"/>
      <c r="G124" s="135"/>
      <c r="H124" s="135"/>
      <c r="I124" s="135"/>
      <c r="J124" s="135"/>
      <c r="K124" s="135"/>
      <c r="L124" s="135"/>
      <c r="M124" s="135"/>
      <c r="N124" s="187"/>
      <c r="O124" s="306"/>
      <c r="P124" s="135"/>
      <c r="Q124" s="135"/>
      <c r="R124" s="135"/>
    </row>
    <row r="125" spans="2:18" ht="20.5" customHeight="1" x14ac:dyDescent="0.45">
      <c r="B125" s="309" t="s">
        <v>521</v>
      </c>
      <c r="C125" s="135"/>
      <c r="D125" s="135"/>
      <c r="E125" s="135"/>
      <c r="F125" s="135"/>
      <c r="G125" s="135"/>
      <c r="H125" s="135"/>
      <c r="I125" s="135"/>
      <c r="J125" s="135"/>
      <c r="K125" s="135"/>
      <c r="L125" s="135"/>
      <c r="M125" s="135"/>
      <c r="N125" s="187"/>
      <c r="O125" s="306"/>
      <c r="P125" s="135"/>
      <c r="Q125" s="135"/>
      <c r="R125" s="135"/>
    </row>
    <row r="126" spans="2:18" ht="20.5" customHeight="1" x14ac:dyDescent="0.45">
      <c r="B126" s="309" t="s">
        <v>522</v>
      </c>
      <c r="C126" s="135"/>
      <c r="D126" s="135"/>
      <c r="E126" s="135"/>
      <c r="F126" s="135"/>
      <c r="G126" s="135"/>
      <c r="H126" s="135"/>
      <c r="I126" s="135"/>
      <c r="J126" s="135"/>
      <c r="K126" s="135"/>
      <c r="L126" s="135"/>
      <c r="M126" s="135"/>
      <c r="N126" s="187"/>
      <c r="O126" s="245"/>
      <c r="P126" s="129"/>
      <c r="Q126" s="129"/>
      <c r="R126" s="129"/>
    </row>
    <row r="127" spans="2:18" ht="20.5" customHeight="1" x14ac:dyDescent="0.45">
      <c r="B127" s="309" t="s">
        <v>523</v>
      </c>
      <c r="C127" s="135"/>
      <c r="D127" s="135"/>
      <c r="E127" s="135"/>
      <c r="F127" s="135"/>
      <c r="G127" s="135"/>
      <c r="H127" s="135"/>
      <c r="I127" s="135"/>
      <c r="J127" s="135"/>
      <c r="K127" s="135"/>
      <c r="L127" s="135"/>
      <c r="M127" s="135"/>
      <c r="N127" s="187"/>
      <c r="O127" s="311"/>
      <c r="P127" s="138"/>
      <c r="Q127" s="138"/>
      <c r="R127" s="138"/>
    </row>
    <row r="128" spans="2:18" ht="20.5" customHeight="1" x14ac:dyDescent="0.45">
      <c r="B128" s="309" t="s">
        <v>524</v>
      </c>
      <c r="C128" s="135"/>
      <c r="D128" s="135"/>
      <c r="E128" s="135"/>
      <c r="F128" s="135"/>
      <c r="G128" s="135"/>
      <c r="H128" s="135"/>
      <c r="I128" s="135"/>
      <c r="J128" s="135"/>
      <c r="K128" s="135"/>
      <c r="L128" s="135"/>
      <c r="M128" s="135"/>
      <c r="N128" s="187"/>
      <c r="O128" s="306"/>
      <c r="P128" s="135"/>
      <c r="Q128" s="135"/>
      <c r="R128" s="135"/>
    </row>
    <row r="129" spans="1:19" ht="20.5" customHeight="1" x14ac:dyDescent="0.45">
      <c r="B129" s="292" t="s">
        <v>249</v>
      </c>
      <c r="C129" s="129"/>
      <c r="D129" s="129"/>
      <c r="E129" s="129"/>
      <c r="F129" s="129"/>
      <c r="G129" s="129"/>
      <c r="H129" s="129"/>
      <c r="I129" s="129"/>
      <c r="J129" s="129"/>
      <c r="K129" s="129"/>
      <c r="L129" s="129"/>
      <c r="M129" s="129"/>
      <c r="N129" s="140"/>
      <c r="O129" s="296">
        <f>SUM(O113:R128)</f>
        <v>0</v>
      </c>
      <c r="P129" s="129"/>
      <c r="Q129" s="129"/>
      <c r="R129" s="129"/>
    </row>
    <row r="130" spans="1:19" ht="20.5" customHeight="1" x14ac:dyDescent="0.55000000000000004">
      <c r="B130" s="25"/>
      <c r="C130" s="25"/>
      <c r="D130" s="25"/>
      <c r="E130" s="25"/>
      <c r="F130" s="25"/>
      <c r="G130" s="25"/>
      <c r="H130" s="25"/>
      <c r="I130" s="25"/>
      <c r="J130" s="25"/>
      <c r="K130" s="25"/>
      <c r="L130" s="25"/>
      <c r="M130" s="25"/>
      <c r="N130" s="25"/>
      <c r="O130" s="25"/>
      <c r="P130" s="25"/>
      <c r="Q130" s="25"/>
      <c r="R130" s="25"/>
    </row>
    <row r="131" spans="1:19" ht="20.5" customHeight="1" x14ac:dyDescent="0.45">
      <c r="B131" s="272" t="s">
        <v>250</v>
      </c>
      <c r="C131" s="135"/>
      <c r="D131" s="135"/>
      <c r="E131" s="135"/>
      <c r="F131" s="135"/>
      <c r="G131" s="135"/>
      <c r="H131" s="135"/>
      <c r="I131" s="135"/>
      <c r="J131" s="135"/>
      <c r="K131" s="135"/>
      <c r="L131" s="135"/>
      <c r="M131" s="135"/>
      <c r="N131" s="135"/>
      <c r="O131" s="135"/>
      <c r="P131" s="135"/>
      <c r="Q131" s="135"/>
      <c r="R131" s="135"/>
    </row>
    <row r="132" spans="1:19" ht="20.5" customHeight="1" x14ac:dyDescent="0.45">
      <c r="A132" s="19" t="str">
        <f>_xlfn.CONCAT(MAX($A$1:A131),"-3")</f>
        <v>1-3</v>
      </c>
      <c r="B132" s="302" t="s">
        <v>794</v>
      </c>
      <c r="C132" s="313"/>
      <c r="D132" s="313"/>
      <c r="E132" s="314"/>
      <c r="F132" s="303" t="s">
        <v>525</v>
      </c>
      <c r="G132" s="129"/>
      <c r="H132" s="129"/>
      <c r="I132" s="129"/>
      <c r="J132" s="129"/>
      <c r="K132" s="129"/>
      <c r="L132" s="140"/>
      <c r="M132" s="300" t="s">
        <v>526</v>
      </c>
      <c r="N132" s="129"/>
      <c r="O132" s="129"/>
      <c r="P132" s="129"/>
      <c r="Q132" s="129"/>
      <c r="R132" s="129"/>
    </row>
    <row r="133" spans="1:19" ht="20.5" customHeight="1" x14ac:dyDescent="0.45">
      <c r="B133" s="312"/>
      <c r="C133" s="129"/>
      <c r="D133" s="129"/>
      <c r="E133" s="140"/>
      <c r="F133" s="245"/>
      <c r="G133" s="129"/>
      <c r="H133" s="129"/>
      <c r="I133" s="129"/>
      <c r="J133" s="129"/>
      <c r="K133" s="129"/>
      <c r="L133" s="140"/>
      <c r="M133" s="296"/>
      <c r="N133" s="129"/>
      <c r="O133" s="129"/>
      <c r="P133" s="129"/>
      <c r="Q133" s="129"/>
      <c r="R133" s="129"/>
    </row>
    <row r="134" spans="1:19" ht="20.5" customHeight="1" x14ac:dyDescent="0.45">
      <c r="B134" s="312"/>
      <c r="C134" s="129"/>
      <c r="D134" s="129"/>
      <c r="E134" s="140"/>
      <c r="F134" s="245"/>
      <c r="G134" s="129"/>
      <c r="H134" s="129"/>
      <c r="I134" s="129"/>
      <c r="J134" s="129"/>
      <c r="K134" s="129"/>
      <c r="L134" s="140"/>
      <c r="M134" s="296"/>
      <c r="N134" s="129"/>
      <c r="O134" s="129"/>
      <c r="P134" s="129"/>
      <c r="Q134" s="129"/>
      <c r="R134" s="129"/>
    </row>
    <row r="135" spans="1:19" ht="20.5" customHeight="1" x14ac:dyDescent="0.45">
      <c r="B135" s="312"/>
      <c r="C135" s="129"/>
      <c r="D135" s="129"/>
      <c r="E135" s="140"/>
      <c r="F135" s="245"/>
      <c r="G135" s="129"/>
      <c r="H135" s="129"/>
      <c r="I135" s="129"/>
      <c r="J135" s="129"/>
      <c r="K135" s="129"/>
      <c r="L135" s="140"/>
      <c r="M135" s="296"/>
      <c r="N135" s="129"/>
      <c r="O135" s="129"/>
      <c r="P135" s="129"/>
      <c r="Q135" s="129"/>
      <c r="R135" s="129"/>
    </row>
    <row r="136" spans="1:19" ht="20.5" customHeight="1" x14ac:dyDescent="0.45">
      <c r="B136" s="312"/>
      <c r="C136" s="129"/>
      <c r="D136" s="129"/>
      <c r="E136" s="140"/>
      <c r="F136" s="245"/>
      <c r="G136" s="129"/>
      <c r="H136" s="129"/>
      <c r="I136" s="129"/>
      <c r="J136" s="129"/>
      <c r="K136" s="129"/>
      <c r="L136" s="140"/>
      <c r="M136" s="296"/>
      <c r="N136" s="129"/>
      <c r="O136" s="129"/>
      <c r="P136" s="129"/>
      <c r="Q136" s="129"/>
      <c r="R136" s="129"/>
    </row>
    <row r="137" spans="1:19" ht="20.5" customHeight="1" x14ac:dyDescent="0.45">
      <c r="A137" s="19" t="str">
        <f>_xlfn.CONCAT(MAX($A$1:A135),"-4")</f>
        <v>1-4</v>
      </c>
      <c r="B137" s="302" t="s">
        <v>795</v>
      </c>
      <c r="C137" s="313"/>
      <c r="D137" s="313"/>
      <c r="E137" s="314"/>
      <c r="F137" s="245"/>
      <c r="G137" s="129"/>
      <c r="H137" s="129"/>
      <c r="I137" s="129"/>
      <c r="J137" s="129"/>
      <c r="K137" s="129"/>
      <c r="L137" s="140"/>
      <c r="M137" s="296"/>
      <c r="N137" s="129"/>
      <c r="O137" s="129"/>
      <c r="P137" s="129"/>
      <c r="Q137" s="129"/>
      <c r="R137" s="129"/>
    </row>
    <row r="138" spans="1:19" ht="20.5" customHeight="1" x14ac:dyDescent="0.55000000000000004">
      <c r="B138" s="25"/>
      <c r="C138" s="25"/>
      <c r="D138" s="25"/>
      <c r="E138" s="25"/>
      <c r="F138" s="25"/>
      <c r="G138" s="25"/>
      <c r="H138" s="25"/>
      <c r="I138" s="25"/>
      <c r="J138" s="25"/>
      <c r="K138" s="25"/>
      <c r="L138" s="25"/>
      <c r="M138" s="25"/>
      <c r="N138" s="25"/>
      <c r="O138" s="25"/>
      <c r="P138" s="25"/>
      <c r="Q138" s="25"/>
      <c r="R138" s="25"/>
    </row>
    <row r="139" spans="1:19" ht="20.5" customHeight="1" x14ac:dyDescent="0.45">
      <c r="B139" s="272" t="s">
        <v>251</v>
      </c>
      <c r="C139" s="135"/>
      <c r="D139" s="135"/>
      <c r="E139" s="135"/>
      <c r="F139" s="135"/>
      <c r="G139" s="135"/>
      <c r="H139" s="135"/>
      <c r="I139" s="135"/>
      <c r="J139" s="135"/>
      <c r="K139" s="135"/>
      <c r="L139" s="135"/>
      <c r="M139" s="135"/>
      <c r="N139" s="135"/>
      <c r="O139" s="135"/>
      <c r="P139" s="135"/>
      <c r="Q139" s="135"/>
      <c r="R139" s="135"/>
      <c r="S139" s="14"/>
    </row>
    <row r="140" spans="1:19" ht="20.5" customHeight="1" x14ac:dyDescent="0.45">
      <c r="B140" s="272" t="s">
        <v>252</v>
      </c>
      <c r="C140" s="135"/>
      <c r="D140" s="135"/>
      <c r="E140" s="135"/>
      <c r="F140" s="135"/>
      <c r="G140" s="135"/>
      <c r="H140" s="135"/>
      <c r="I140" s="135"/>
      <c r="J140" s="135"/>
      <c r="K140" s="135"/>
      <c r="L140" s="135"/>
      <c r="M140" s="135"/>
      <c r="N140" s="135"/>
      <c r="O140" s="135"/>
      <c r="P140" s="135"/>
      <c r="Q140" s="135"/>
      <c r="R140" s="135"/>
    </row>
    <row r="141" spans="1:19" ht="20.5" customHeight="1" x14ac:dyDescent="0.45">
      <c r="B141" s="215" t="s">
        <v>527</v>
      </c>
      <c r="C141" s="129"/>
      <c r="D141" s="129"/>
      <c r="E141" s="129"/>
      <c r="F141" s="129"/>
      <c r="G141" s="129"/>
      <c r="H141" s="129"/>
      <c r="I141" s="129"/>
      <c r="J141" s="129"/>
      <c r="K141" s="129"/>
      <c r="L141" s="129"/>
      <c r="M141" s="129"/>
      <c r="N141" s="140"/>
      <c r="O141" s="306"/>
      <c r="P141" s="135"/>
      <c r="Q141" s="135"/>
      <c r="R141" s="135"/>
    </row>
    <row r="142" spans="1:19" ht="20.5" customHeight="1" x14ac:dyDescent="0.45">
      <c r="B142" s="215" t="s">
        <v>796</v>
      </c>
      <c r="C142" s="129"/>
      <c r="D142" s="129"/>
      <c r="E142" s="129"/>
      <c r="F142" s="129"/>
      <c r="G142" s="129"/>
      <c r="H142" s="129"/>
      <c r="I142" s="129"/>
      <c r="J142" s="129"/>
      <c r="K142" s="129"/>
      <c r="L142" s="129"/>
      <c r="M142" s="129"/>
      <c r="N142" s="140"/>
      <c r="O142" s="306"/>
      <c r="P142" s="135"/>
      <c r="Q142" s="135"/>
      <c r="R142" s="135"/>
    </row>
    <row r="143" spans="1:19" ht="20.5" customHeight="1" x14ac:dyDescent="0.45">
      <c r="B143" s="215" t="s">
        <v>528</v>
      </c>
      <c r="C143" s="129"/>
      <c r="D143" s="129"/>
      <c r="E143" s="129"/>
      <c r="F143" s="129"/>
      <c r="G143" s="129"/>
      <c r="H143" s="129"/>
      <c r="I143" s="129"/>
      <c r="J143" s="129"/>
      <c r="K143" s="129"/>
      <c r="L143" s="129"/>
      <c r="M143" s="129"/>
      <c r="N143" s="140"/>
      <c r="O143" s="306"/>
      <c r="P143" s="135"/>
      <c r="Q143" s="135"/>
      <c r="R143" s="135"/>
    </row>
    <row r="144" spans="1:19" ht="20.5" customHeight="1" x14ac:dyDescent="0.45">
      <c r="B144" s="272" t="s">
        <v>253</v>
      </c>
      <c r="C144" s="135"/>
      <c r="D144" s="135"/>
      <c r="E144" s="135"/>
      <c r="F144" s="135"/>
      <c r="G144" s="135"/>
      <c r="H144" s="135"/>
      <c r="I144" s="135"/>
      <c r="J144" s="135"/>
      <c r="K144" s="135"/>
      <c r="L144" s="135"/>
      <c r="M144" s="135"/>
      <c r="N144" s="135"/>
      <c r="O144" s="135"/>
      <c r="P144" s="135"/>
      <c r="Q144" s="135"/>
      <c r="R144" s="135"/>
    </row>
    <row r="145" spans="2:18" ht="20.5" customHeight="1" x14ac:dyDescent="0.45">
      <c r="B145" s="316" t="s">
        <v>529</v>
      </c>
      <c r="C145" s="129"/>
      <c r="D145" s="129"/>
      <c r="E145" s="129"/>
      <c r="F145" s="129"/>
      <c r="G145" s="129"/>
      <c r="H145" s="129"/>
      <c r="I145" s="140"/>
      <c r="J145" s="147" t="s">
        <v>530</v>
      </c>
      <c r="K145" s="129"/>
      <c r="L145" s="129"/>
      <c r="M145" s="140"/>
      <c r="N145" s="128" t="s">
        <v>531</v>
      </c>
      <c r="O145" s="129"/>
      <c r="P145" s="129"/>
      <c r="Q145" s="129"/>
      <c r="R145" s="129"/>
    </row>
    <row r="146" spans="2:18" ht="48" customHeight="1" x14ac:dyDescent="0.45">
      <c r="B146" s="315" t="s">
        <v>532</v>
      </c>
      <c r="C146" s="129"/>
      <c r="D146" s="129"/>
      <c r="E146" s="129"/>
      <c r="F146" s="129"/>
      <c r="G146" s="129"/>
      <c r="H146" s="129"/>
      <c r="I146" s="140"/>
      <c r="J146" s="248"/>
      <c r="K146" s="129"/>
      <c r="L146" s="129"/>
      <c r="M146" s="140"/>
      <c r="N146" s="245"/>
      <c r="O146" s="129"/>
      <c r="P146" s="129"/>
      <c r="Q146" s="129"/>
      <c r="R146" s="129"/>
    </row>
    <row r="147" spans="2:18" ht="33" customHeight="1" x14ac:dyDescent="0.45">
      <c r="B147" s="315" t="s">
        <v>533</v>
      </c>
      <c r="C147" s="129"/>
      <c r="D147" s="129"/>
      <c r="E147" s="129"/>
      <c r="F147" s="129"/>
      <c r="G147" s="129"/>
      <c r="H147" s="129"/>
      <c r="I147" s="140"/>
      <c r="J147" s="248"/>
      <c r="K147" s="129"/>
      <c r="L147" s="129"/>
      <c r="M147" s="140"/>
      <c r="N147" s="245"/>
      <c r="O147" s="129"/>
      <c r="P147" s="129"/>
      <c r="Q147" s="129"/>
      <c r="R147" s="129"/>
    </row>
    <row r="148" spans="2:18" ht="20.5" customHeight="1" x14ac:dyDescent="0.45">
      <c r="B148" s="315" t="s">
        <v>534</v>
      </c>
      <c r="C148" s="129"/>
      <c r="D148" s="129"/>
      <c r="E148" s="129"/>
      <c r="F148" s="129"/>
      <c r="G148" s="129"/>
      <c r="H148" s="129"/>
      <c r="I148" s="140"/>
      <c r="J148" s="248"/>
      <c r="K148" s="129"/>
      <c r="L148" s="129"/>
      <c r="M148" s="140"/>
      <c r="N148" s="245"/>
      <c r="O148" s="129"/>
      <c r="P148" s="129"/>
      <c r="Q148" s="129"/>
      <c r="R148" s="129"/>
    </row>
    <row r="149" spans="2:18" x14ac:dyDescent="0.55000000000000004">
      <c r="B149" s="25"/>
      <c r="C149" s="25"/>
      <c r="D149" s="25"/>
      <c r="E149" s="25"/>
      <c r="F149" s="25"/>
      <c r="G149" s="25"/>
      <c r="H149" s="25"/>
      <c r="I149" s="25"/>
      <c r="J149" s="25"/>
      <c r="K149" s="25"/>
      <c r="L149" s="25"/>
      <c r="M149" s="25"/>
      <c r="N149" s="25"/>
      <c r="O149" s="25"/>
      <c r="P149" s="25"/>
      <c r="Q149" s="25"/>
      <c r="R149" s="25"/>
    </row>
    <row r="150" spans="2:18" ht="20.5" customHeight="1" x14ac:dyDescent="0.45">
      <c r="B150" s="272" t="s">
        <v>254</v>
      </c>
      <c r="C150" s="135"/>
      <c r="D150" s="135"/>
      <c r="E150" s="135"/>
      <c r="F150" s="135"/>
      <c r="G150" s="135"/>
      <c r="H150" s="135"/>
      <c r="I150" s="135"/>
      <c r="J150" s="135"/>
      <c r="K150" s="135"/>
      <c r="L150" s="135"/>
      <c r="M150" s="135"/>
      <c r="N150" s="135"/>
      <c r="O150" s="135"/>
      <c r="P150" s="135"/>
      <c r="Q150" s="135"/>
      <c r="R150" s="135"/>
    </row>
    <row r="151" spans="2:18" ht="20.5" customHeight="1" x14ac:dyDescent="0.45">
      <c r="B151" s="186" t="s">
        <v>535</v>
      </c>
      <c r="C151" s="135"/>
      <c r="D151" s="135"/>
      <c r="E151" s="135"/>
      <c r="F151" s="135"/>
      <c r="G151" s="135"/>
      <c r="H151" s="135"/>
      <c r="I151" s="135"/>
      <c r="J151" s="135"/>
      <c r="K151" s="135"/>
      <c r="L151" s="135"/>
      <c r="M151" s="135"/>
      <c r="N151" s="135"/>
      <c r="O151" s="135"/>
      <c r="P151" s="135"/>
      <c r="Q151" s="135"/>
      <c r="R151" s="135"/>
    </row>
    <row r="152" spans="2:18" ht="20.5" customHeight="1" x14ac:dyDescent="0.45">
      <c r="B152" s="272" t="s">
        <v>255</v>
      </c>
      <c r="C152" s="135"/>
      <c r="D152" s="135"/>
      <c r="E152" s="135"/>
      <c r="F152" s="135"/>
      <c r="G152" s="135"/>
      <c r="H152" s="135"/>
      <c r="I152" s="135"/>
      <c r="J152" s="135"/>
      <c r="K152" s="135"/>
      <c r="L152" s="135"/>
      <c r="M152" s="135"/>
      <c r="N152" s="135"/>
      <c r="O152" s="135"/>
      <c r="P152" s="135"/>
      <c r="Q152" s="135"/>
      <c r="R152" s="135"/>
    </row>
    <row r="153" spans="2:18" ht="20.5" customHeight="1" x14ac:dyDescent="0.45">
      <c r="B153" s="202" t="s">
        <v>536</v>
      </c>
      <c r="C153" s="135"/>
      <c r="D153" s="135"/>
      <c r="E153" s="135"/>
      <c r="F153" s="135"/>
      <c r="G153" s="135"/>
      <c r="H153" s="135"/>
      <c r="I153" s="135"/>
      <c r="J153" s="135"/>
      <c r="K153" s="135"/>
      <c r="L153" s="135"/>
      <c r="M153" s="135"/>
      <c r="N153" s="135"/>
      <c r="O153" s="135"/>
      <c r="P153" s="135"/>
      <c r="Q153" s="135"/>
      <c r="R153" s="135"/>
    </row>
    <row r="154" spans="2:18" ht="20.5" customHeight="1" x14ac:dyDescent="0.45">
      <c r="B154" s="302" t="s">
        <v>537</v>
      </c>
      <c r="C154" s="129"/>
      <c r="D154" s="129"/>
      <c r="E154" s="129"/>
      <c r="F154" s="129"/>
      <c r="G154" s="129"/>
      <c r="H154" s="129"/>
      <c r="I154" s="129"/>
      <c r="J154" s="140"/>
      <c r="K154" s="202" t="s">
        <v>538</v>
      </c>
      <c r="L154" s="135"/>
      <c r="M154" s="135"/>
      <c r="N154" s="135"/>
      <c r="O154" s="135"/>
      <c r="P154" s="135"/>
      <c r="Q154" s="135"/>
      <c r="R154" s="135"/>
    </row>
    <row r="155" spans="2:18" ht="20.5" customHeight="1" x14ac:dyDescent="0.45">
      <c r="B155" s="296"/>
      <c r="C155" s="129"/>
      <c r="D155" s="129"/>
      <c r="E155" s="129"/>
      <c r="F155" s="129"/>
      <c r="G155" s="129"/>
      <c r="H155" s="129"/>
      <c r="I155" s="129"/>
      <c r="J155" s="140"/>
      <c r="K155" s="296"/>
      <c r="L155" s="129"/>
      <c r="M155" s="129"/>
      <c r="N155" s="129"/>
      <c r="O155" s="129"/>
      <c r="P155" s="129"/>
      <c r="Q155" s="129"/>
      <c r="R155" s="129"/>
    </row>
    <row r="156" spans="2:18" ht="7.2" customHeight="1" x14ac:dyDescent="0.55000000000000004">
      <c r="B156" s="25"/>
      <c r="C156" s="25"/>
      <c r="D156" s="25"/>
      <c r="E156" s="25"/>
      <c r="F156" s="25"/>
      <c r="G156" s="25"/>
      <c r="H156" s="25"/>
      <c r="I156" s="25"/>
      <c r="J156" s="25"/>
      <c r="K156" s="25"/>
      <c r="L156" s="25"/>
      <c r="M156" s="25"/>
      <c r="N156" s="25"/>
      <c r="O156" s="25"/>
      <c r="P156" s="25"/>
      <c r="Q156" s="25"/>
      <c r="R156" s="25"/>
    </row>
    <row r="157" spans="2:18" ht="20.5" customHeight="1" x14ac:dyDescent="0.45">
      <c r="B157" s="300" t="s">
        <v>539</v>
      </c>
      <c r="C157" s="129"/>
      <c r="D157" s="129"/>
      <c r="E157" s="129"/>
      <c r="F157" s="129"/>
      <c r="G157" s="129"/>
      <c r="H157" s="129"/>
      <c r="I157" s="129"/>
      <c r="J157" s="129"/>
      <c r="K157" s="129"/>
      <c r="L157" s="129"/>
      <c r="M157" s="129"/>
      <c r="N157" s="129"/>
      <c r="O157" s="129"/>
      <c r="P157" s="129"/>
      <c r="Q157" s="129"/>
      <c r="R157" s="129"/>
    </row>
    <row r="158" spans="2:18" ht="33" customHeight="1" x14ac:dyDescent="0.45">
      <c r="B158" s="117" t="s">
        <v>797</v>
      </c>
      <c r="C158" s="118"/>
      <c r="D158" s="118"/>
      <c r="E158" s="119"/>
      <c r="F158" s="120" t="s">
        <v>540</v>
      </c>
      <c r="G158" s="118"/>
      <c r="H158" s="118"/>
      <c r="I158" s="118"/>
      <c r="J158" s="119"/>
      <c r="K158" s="317" t="s">
        <v>798</v>
      </c>
      <c r="L158" s="318"/>
      <c r="M158" s="318"/>
      <c r="N158" s="319"/>
      <c r="O158" s="128" t="s">
        <v>541</v>
      </c>
      <c r="P158" s="129"/>
      <c r="Q158" s="129"/>
      <c r="R158" s="129"/>
    </row>
    <row r="159" spans="2:18" ht="21.65" customHeight="1" x14ac:dyDescent="0.45">
      <c r="B159" s="320"/>
      <c r="C159" s="127"/>
      <c r="D159" s="127"/>
      <c r="E159" s="321"/>
      <c r="F159" s="322"/>
      <c r="G159" s="127"/>
      <c r="H159" s="127"/>
      <c r="I159" s="127"/>
      <c r="J159" s="321"/>
      <c r="K159" s="322"/>
      <c r="L159" s="127"/>
      <c r="M159" s="127"/>
      <c r="N159" s="323"/>
      <c r="O159" s="245"/>
      <c r="P159" s="129"/>
      <c r="Q159" s="129"/>
      <c r="R159" s="129"/>
    </row>
    <row r="160" spans="2:18" ht="4.95" customHeight="1" x14ac:dyDescent="0.55000000000000004">
      <c r="B160" s="25"/>
      <c r="C160" s="25"/>
      <c r="D160" s="25"/>
      <c r="E160" s="25"/>
      <c r="F160" s="25"/>
      <c r="G160" s="25"/>
      <c r="H160" s="25"/>
      <c r="I160" s="25"/>
      <c r="J160" s="25"/>
      <c r="K160" s="25"/>
      <c r="L160" s="25"/>
      <c r="M160" s="25"/>
      <c r="N160" s="25"/>
      <c r="O160" s="25"/>
      <c r="P160" s="25"/>
      <c r="Q160" s="25"/>
      <c r="R160" s="25"/>
    </row>
    <row r="161" spans="1:18" ht="21.65" customHeight="1" x14ac:dyDescent="0.45">
      <c r="B161" s="230" t="s">
        <v>256</v>
      </c>
      <c r="C161" s="129"/>
      <c r="D161" s="129"/>
      <c r="E161" s="129"/>
      <c r="F161" s="129"/>
      <c r="G161" s="129"/>
      <c r="H161" s="129"/>
      <c r="I161" s="129"/>
      <c r="J161" s="129"/>
      <c r="K161" s="129"/>
      <c r="L161" s="129"/>
      <c r="M161" s="129"/>
      <c r="N161" s="129"/>
      <c r="O161" s="129"/>
      <c r="P161" s="129"/>
      <c r="Q161" s="129"/>
      <c r="R161" s="129"/>
    </row>
    <row r="162" spans="1:18" ht="28.2" customHeight="1" x14ac:dyDescent="0.45">
      <c r="A162" s="19" t="str">
        <f>_xlfn.CONCAT(MAX($A$1:A161),"-5")</f>
        <v>1-5</v>
      </c>
      <c r="B162" s="262" t="s">
        <v>799</v>
      </c>
      <c r="C162" s="190"/>
      <c r="D162" s="263" t="s">
        <v>542</v>
      </c>
      <c r="E162" s="122"/>
      <c r="F162" s="122"/>
      <c r="G162" s="190"/>
      <c r="H162" s="263" t="s">
        <v>543</v>
      </c>
      <c r="I162" s="122"/>
      <c r="J162" s="190"/>
      <c r="K162" s="263" t="s">
        <v>544</v>
      </c>
      <c r="L162" s="122"/>
      <c r="M162" s="190"/>
      <c r="N162" s="121" t="s">
        <v>545</v>
      </c>
      <c r="O162" s="122"/>
      <c r="P162" s="122"/>
      <c r="Q162" s="122"/>
      <c r="R162" s="122"/>
    </row>
    <row r="163" spans="1:18" ht="20.5" customHeight="1" x14ac:dyDescent="0.45">
      <c r="B163" s="139"/>
      <c r="C163" s="140"/>
      <c r="D163" s="248"/>
      <c r="E163" s="129"/>
      <c r="F163" s="129"/>
      <c r="G163" s="140"/>
      <c r="H163" s="248"/>
      <c r="I163" s="129"/>
      <c r="J163" s="140"/>
      <c r="K163" s="248"/>
      <c r="L163" s="129"/>
      <c r="M163" s="140"/>
      <c r="N163" s="245"/>
      <c r="O163" s="129"/>
      <c r="P163" s="129"/>
      <c r="Q163" s="129"/>
      <c r="R163" s="129"/>
    </row>
    <row r="164" spans="1:18" ht="20.5" customHeight="1" x14ac:dyDescent="0.45">
      <c r="B164" s="139"/>
      <c r="C164" s="140"/>
      <c r="D164" s="248"/>
      <c r="E164" s="129"/>
      <c r="F164" s="129"/>
      <c r="G164" s="140"/>
      <c r="H164" s="248"/>
      <c r="I164" s="129"/>
      <c r="J164" s="140"/>
      <c r="K164" s="248"/>
      <c r="L164" s="129"/>
      <c r="M164" s="140"/>
      <c r="N164" s="245"/>
      <c r="O164" s="129"/>
      <c r="P164" s="129"/>
      <c r="Q164" s="129"/>
      <c r="R164" s="129"/>
    </row>
    <row r="165" spans="1:18" ht="20.5" customHeight="1" x14ac:dyDescent="0.45">
      <c r="B165" s="139"/>
      <c r="C165" s="140"/>
      <c r="D165" s="248"/>
      <c r="E165" s="129"/>
      <c r="F165" s="129"/>
      <c r="G165" s="140"/>
      <c r="H165" s="248"/>
      <c r="I165" s="129"/>
      <c r="J165" s="140"/>
      <c r="K165" s="248"/>
      <c r="L165" s="129"/>
      <c r="M165" s="140"/>
      <c r="N165" s="245"/>
      <c r="O165" s="129"/>
      <c r="P165" s="129"/>
      <c r="Q165" s="129"/>
      <c r="R165" s="129"/>
    </row>
    <row r="166" spans="1:18" ht="20.5" customHeight="1" x14ac:dyDescent="0.45">
      <c r="B166" s="139"/>
      <c r="C166" s="140"/>
      <c r="D166" s="248"/>
      <c r="E166" s="129"/>
      <c r="F166" s="129"/>
      <c r="G166" s="140"/>
      <c r="H166" s="248"/>
      <c r="I166" s="129"/>
      <c r="J166" s="140"/>
      <c r="K166" s="248"/>
      <c r="L166" s="129"/>
      <c r="M166" s="140"/>
      <c r="N166" s="245"/>
      <c r="O166" s="129"/>
      <c r="P166" s="129"/>
      <c r="Q166" s="129"/>
      <c r="R166" s="129"/>
    </row>
    <row r="167" spans="1:18" ht="20.5" customHeight="1" x14ac:dyDescent="0.45">
      <c r="B167" s="139"/>
      <c r="C167" s="140"/>
      <c r="D167" s="248"/>
      <c r="E167" s="129"/>
      <c r="F167" s="129"/>
      <c r="G167" s="140"/>
      <c r="H167" s="248"/>
      <c r="I167" s="129"/>
      <c r="J167" s="140"/>
      <c r="K167" s="248"/>
      <c r="L167" s="129"/>
      <c r="M167" s="140"/>
      <c r="N167" s="245"/>
      <c r="O167" s="129"/>
      <c r="P167" s="129"/>
      <c r="Q167" s="129"/>
      <c r="R167" s="129"/>
    </row>
    <row r="168" spans="1:18" ht="20.5" customHeight="1" x14ac:dyDescent="0.45">
      <c r="B168" s="139"/>
      <c r="C168" s="140"/>
      <c r="D168" s="248"/>
      <c r="E168" s="129"/>
      <c r="F168" s="129"/>
      <c r="G168" s="140"/>
      <c r="H168" s="248"/>
      <c r="I168" s="129"/>
      <c r="J168" s="140"/>
      <c r="K168" s="248"/>
      <c r="L168" s="129"/>
      <c r="M168" s="140"/>
      <c r="N168" s="245"/>
      <c r="O168" s="129"/>
      <c r="P168" s="129"/>
      <c r="Q168" s="129"/>
      <c r="R168" s="129"/>
    </row>
    <row r="169" spans="1:18" x14ac:dyDescent="0.55000000000000004">
      <c r="A169" s="19" t="str">
        <f>_xlfn.CONCAT(MAX($A$1:A163),"-6")</f>
        <v>1-6</v>
      </c>
      <c r="B169" s="25"/>
      <c r="C169" s="25"/>
      <c r="D169" s="25"/>
      <c r="E169" s="25"/>
      <c r="F169" s="25"/>
      <c r="G169" s="25"/>
      <c r="H169" s="25"/>
      <c r="I169" s="25"/>
      <c r="J169" s="25"/>
      <c r="K169" s="25"/>
      <c r="L169" s="25"/>
      <c r="M169" s="25"/>
      <c r="N169" s="25"/>
      <c r="O169" s="25"/>
      <c r="P169" s="25"/>
      <c r="Q169" s="25"/>
      <c r="R169" s="25"/>
    </row>
    <row r="170" spans="1:18" ht="20.5" customHeight="1" x14ac:dyDescent="0.45">
      <c r="B170" s="230" t="s">
        <v>257</v>
      </c>
      <c r="C170" s="129"/>
      <c r="D170" s="129"/>
      <c r="E170" s="129"/>
      <c r="F170" s="129"/>
      <c r="G170" s="129"/>
      <c r="H170" s="129"/>
      <c r="I170" s="129"/>
      <c r="J170" s="129"/>
      <c r="K170" s="129"/>
      <c r="L170" s="129"/>
      <c r="M170" s="129"/>
      <c r="N170" s="129"/>
      <c r="O170" s="129"/>
      <c r="P170" s="129"/>
      <c r="Q170" s="129"/>
      <c r="R170" s="129"/>
    </row>
    <row r="171" spans="1:18" ht="20.5" customHeight="1" x14ac:dyDescent="0.45">
      <c r="B171" s="230" t="s">
        <v>258</v>
      </c>
      <c r="C171" s="129"/>
      <c r="D171" s="129"/>
      <c r="E171" s="129"/>
      <c r="F171" s="129"/>
      <c r="G171" s="129"/>
      <c r="H171" s="129"/>
      <c r="I171" s="129"/>
      <c r="J171" s="129"/>
      <c r="K171" s="129"/>
      <c r="L171" s="129"/>
      <c r="M171" s="129"/>
      <c r="N171" s="129"/>
      <c r="O171" s="129"/>
      <c r="P171" s="129"/>
      <c r="Q171" s="129"/>
      <c r="R171" s="129"/>
    </row>
    <row r="172" spans="1:18" ht="20.5" customHeight="1" x14ac:dyDescent="0.45">
      <c r="B172" s="230" t="s">
        <v>259</v>
      </c>
      <c r="C172" s="129"/>
      <c r="D172" s="129"/>
      <c r="E172" s="129"/>
      <c r="F172" s="129"/>
      <c r="G172" s="129"/>
      <c r="H172" s="129"/>
      <c r="I172" s="129"/>
      <c r="J172" s="129"/>
      <c r="K172" s="129"/>
      <c r="L172" s="129"/>
      <c r="M172" s="129"/>
      <c r="N172" s="129"/>
      <c r="O172" s="129"/>
      <c r="P172" s="129"/>
      <c r="Q172" s="129"/>
      <c r="R172" s="129"/>
    </row>
    <row r="173" spans="1:18" ht="20.5" customHeight="1" x14ac:dyDescent="0.45">
      <c r="B173" s="324" t="s">
        <v>546</v>
      </c>
      <c r="C173" s="122"/>
      <c r="D173" s="122"/>
      <c r="E173" s="122"/>
      <c r="F173" s="122"/>
      <c r="G173" s="122"/>
      <c r="H173" s="122"/>
      <c r="I173" s="122"/>
      <c r="J173" s="122"/>
      <c r="K173" s="122"/>
      <c r="L173" s="190"/>
      <c r="M173" s="203"/>
      <c r="N173" s="138"/>
      <c r="O173" s="138"/>
      <c r="P173" s="138"/>
      <c r="Q173" s="138"/>
      <c r="R173" s="138"/>
    </row>
    <row r="174" spans="1:18" ht="20.5" customHeight="1" x14ac:dyDescent="0.45">
      <c r="B174" s="215" t="s">
        <v>547</v>
      </c>
      <c r="C174" s="129"/>
      <c r="D174" s="129"/>
      <c r="E174" s="129"/>
      <c r="F174" s="129"/>
      <c r="G174" s="129"/>
      <c r="H174" s="129"/>
      <c r="I174" s="129"/>
      <c r="J174" s="129"/>
      <c r="K174" s="129"/>
      <c r="L174" s="140"/>
      <c r="M174" s="134"/>
      <c r="N174" s="135"/>
      <c r="O174" s="135"/>
      <c r="P174" s="135"/>
      <c r="Q174" s="135"/>
      <c r="R174" s="135"/>
    </row>
    <row r="175" spans="1:18" ht="20.5" customHeight="1" x14ac:dyDescent="0.45">
      <c r="B175" s="215" t="s">
        <v>548</v>
      </c>
      <c r="C175" s="129"/>
      <c r="D175" s="129"/>
      <c r="E175" s="129"/>
      <c r="F175" s="129"/>
      <c r="G175" s="129"/>
      <c r="H175" s="129"/>
      <c r="I175" s="129"/>
      <c r="J175" s="129"/>
      <c r="K175" s="129"/>
      <c r="L175" s="140"/>
      <c r="M175" s="134"/>
      <c r="N175" s="135"/>
      <c r="O175" s="135"/>
      <c r="P175" s="135"/>
      <c r="Q175" s="135"/>
      <c r="R175" s="135"/>
    </row>
    <row r="176" spans="1:18" ht="20.5" customHeight="1" x14ac:dyDescent="0.45">
      <c r="B176" s="215" t="s">
        <v>549</v>
      </c>
      <c r="C176" s="129"/>
      <c r="D176" s="129"/>
      <c r="E176" s="129"/>
      <c r="F176" s="129"/>
      <c r="G176" s="129"/>
      <c r="H176" s="129"/>
      <c r="I176" s="129"/>
      <c r="J176" s="129"/>
      <c r="K176" s="129"/>
      <c r="L176" s="140"/>
      <c r="M176" s="134"/>
      <c r="N176" s="135"/>
      <c r="O176" s="135"/>
      <c r="P176" s="135"/>
      <c r="Q176" s="135"/>
      <c r="R176" s="135"/>
    </row>
    <row r="177" spans="2:18" ht="20.5" customHeight="1" x14ac:dyDescent="0.45">
      <c r="B177" s="215" t="s">
        <v>550</v>
      </c>
      <c r="C177" s="129"/>
      <c r="D177" s="129"/>
      <c r="E177" s="129"/>
      <c r="F177" s="129"/>
      <c r="G177" s="129"/>
      <c r="H177" s="129"/>
      <c r="I177" s="129"/>
      <c r="J177" s="129"/>
      <c r="K177" s="129"/>
      <c r="L177" s="140"/>
      <c r="M177" s="128"/>
      <c r="N177" s="129"/>
      <c r="O177" s="129"/>
      <c r="P177" s="129"/>
      <c r="Q177" s="129"/>
      <c r="R177" s="129"/>
    </row>
    <row r="178" spans="2:18" ht="7.95" customHeight="1" x14ac:dyDescent="0.55000000000000004">
      <c r="B178" s="25"/>
      <c r="C178" s="25"/>
      <c r="D178" s="25"/>
      <c r="E178" s="25"/>
      <c r="F178" s="25"/>
      <c r="G178" s="25"/>
      <c r="H178" s="25"/>
      <c r="I178" s="25"/>
      <c r="J178" s="25"/>
      <c r="K178" s="25"/>
      <c r="L178" s="25"/>
      <c r="M178" s="25"/>
      <c r="N178" s="25"/>
      <c r="O178" s="25"/>
      <c r="P178" s="25"/>
      <c r="Q178" s="25"/>
      <c r="R178" s="25"/>
    </row>
    <row r="179" spans="2:18" ht="20.5" customHeight="1" x14ac:dyDescent="0.45">
      <c r="B179" s="325" t="s">
        <v>551</v>
      </c>
      <c r="C179" s="129"/>
      <c r="D179" s="129"/>
      <c r="E179" s="129"/>
      <c r="F179" s="129"/>
      <c r="G179" s="129"/>
      <c r="H179" s="129"/>
      <c r="I179" s="129"/>
      <c r="J179" s="129"/>
      <c r="K179" s="129"/>
      <c r="L179" s="140"/>
      <c r="M179" s="326" t="s">
        <v>552</v>
      </c>
      <c r="N179" s="129"/>
      <c r="O179" s="129"/>
      <c r="P179" s="327" t="s">
        <v>553</v>
      </c>
      <c r="Q179" s="129"/>
      <c r="R179" s="129"/>
    </row>
    <row r="180" spans="2:18" ht="20.5" customHeight="1" x14ac:dyDescent="0.45">
      <c r="B180" s="215" t="s">
        <v>554</v>
      </c>
      <c r="C180" s="129"/>
      <c r="D180" s="129"/>
      <c r="E180" s="129"/>
      <c r="F180" s="129"/>
      <c r="G180" s="129"/>
      <c r="H180" s="129"/>
      <c r="I180" s="129"/>
      <c r="J180" s="129"/>
      <c r="K180" s="129"/>
      <c r="L180" s="140"/>
      <c r="M180" s="141"/>
      <c r="N180" s="129"/>
      <c r="O180" s="129"/>
      <c r="P180" s="128"/>
      <c r="Q180" s="129"/>
      <c r="R180" s="129"/>
    </row>
    <row r="181" spans="2:18" ht="20.5" customHeight="1" x14ac:dyDescent="0.45">
      <c r="B181" s="215" t="s">
        <v>555</v>
      </c>
      <c r="C181" s="129"/>
      <c r="D181" s="129"/>
      <c r="E181" s="129"/>
      <c r="F181" s="129"/>
      <c r="G181" s="129"/>
      <c r="H181" s="129"/>
      <c r="I181" s="129"/>
      <c r="J181" s="129"/>
      <c r="K181" s="129"/>
      <c r="L181" s="140"/>
      <c r="M181" s="141"/>
      <c r="N181" s="129"/>
      <c r="O181" s="129"/>
      <c r="P181" s="128"/>
      <c r="Q181" s="129"/>
      <c r="R181" s="129"/>
    </row>
    <row r="182" spans="2:18" ht="20.5" customHeight="1" x14ac:dyDescent="0.45">
      <c r="B182" s="215" t="s">
        <v>556</v>
      </c>
      <c r="C182" s="129"/>
      <c r="D182" s="129"/>
      <c r="E182" s="129"/>
      <c r="F182" s="129"/>
      <c r="G182" s="129"/>
      <c r="H182" s="129"/>
      <c r="I182" s="129"/>
      <c r="J182" s="129"/>
      <c r="K182" s="129"/>
      <c r="L182" s="140"/>
      <c r="M182" s="141"/>
      <c r="N182" s="129"/>
      <c r="O182" s="129"/>
      <c r="P182" s="128"/>
      <c r="Q182" s="129"/>
      <c r="R182" s="129"/>
    </row>
    <row r="183" spans="2:18" ht="20.5" customHeight="1" x14ac:dyDescent="0.45">
      <c r="B183" s="215" t="s">
        <v>557</v>
      </c>
      <c r="C183" s="129"/>
      <c r="D183" s="129"/>
      <c r="E183" s="129"/>
      <c r="F183" s="129"/>
      <c r="G183" s="129"/>
      <c r="H183" s="129"/>
      <c r="I183" s="129"/>
      <c r="J183" s="129"/>
      <c r="K183" s="129"/>
      <c r="L183" s="140"/>
      <c r="M183" s="141"/>
      <c r="N183" s="129"/>
      <c r="O183" s="129"/>
      <c r="P183" s="128"/>
      <c r="Q183" s="129"/>
      <c r="R183" s="129"/>
    </row>
    <row r="184" spans="2:18" ht="20.5" customHeight="1" x14ac:dyDescent="0.45">
      <c r="B184" s="215" t="s">
        <v>558</v>
      </c>
      <c r="C184" s="129"/>
      <c r="D184" s="129"/>
      <c r="E184" s="129"/>
      <c r="F184" s="129"/>
      <c r="G184" s="129"/>
      <c r="H184" s="129"/>
      <c r="I184" s="129"/>
      <c r="J184" s="129"/>
      <c r="K184" s="129"/>
      <c r="L184" s="140"/>
      <c r="M184" s="141"/>
      <c r="N184" s="129"/>
      <c r="O184" s="129"/>
      <c r="P184" s="128"/>
      <c r="Q184" s="129"/>
      <c r="R184" s="129"/>
    </row>
    <row r="185" spans="2:18" ht="4.95" customHeight="1" x14ac:dyDescent="0.55000000000000004">
      <c r="B185" s="25"/>
      <c r="C185" s="25"/>
      <c r="D185" s="25"/>
      <c r="E185" s="25"/>
      <c r="F185" s="25"/>
      <c r="G185" s="25"/>
      <c r="H185" s="25"/>
      <c r="I185" s="25"/>
      <c r="J185" s="25"/>
      <c r="K185" s="25"/>
      <c r="L185" s="25"/>
      <c r="M185" s="25"/>
      <c r="N185" s="25"/>
      <c r="O185" s="25"/>
      <c r="P185" s="25"/>
      <c r="Q185" s="25"/>
      <c r="R185" s="25"/>
    </row>
    <row r="186" spans="2:18" ht="19.95" customHeight="1" x14ac:dyDescent="0.45">
      <c r="B186" s="325" t="s">
        <v>559</v>
      </c>
      <c r="C186" s="129"/>
      <c r="D186" s="129"/>
      <c r="E186" s="129"/>
      <c r="F186" s="129"/>
      <c r="G186" s="129"/>
      <c r="H186" s="129"/>
      <c r="I186" s="129"/>
      <c r="J186" s="129"/>
      <c r="K186" s="129"/>
      <c r="L186" s="140"/>
      <c r="M186" s="326" t="s">
        <v>560</v>
      </c>
      <c r="N186" s="129"/>
      <c r="O186" s="140"/>
      <c r="P186" s="310" t="s">
        <v>561</v>
      </c>
      <c r="Q186" s="135"/>
      <c r="R186" s="135"/>
    </row>
    <row r="187" spans="2:18" ht="19.95" customHeight="1" x14ac:dyDescent="0.45">
      <c r="B187" s="215" t="s">
        <v>562</v>
      </c>
      <c r="C187" s="129"/>
      <c r="D187" s="129"/>
      <c r="E187" s="129"/>
      <c r="F187" s="129"/>
      <c r="G187" s="129"/>
      <c r="H187" s="129"/>
      <c r="I187" s="129"/>
      <c r="J187" s="129"/>
      <c r="K187" s="129"/>
      <c r="L187" s="140"/>
      <c r="M187" s="141"/>
      <c r="N187" s="129"/>
      <c r="O187" s="140"/>
      <c r="P187" s="300"/>
      <c r="Q187" s="129"/>
      <c r="R187" s="129"/>
    </row>
    <row r="188" spans="2:18" x14ac:dyDescent="0.55000000000000004">
      <c r="B188" s="25"/>
      <c r="C188" s="25"/>
      <c r="D188" s="25"/>
      <c r="E188" s="25"/>
      <c r="F188" s="25"/>
      <c r="G188" s="25"/>
      <c r="H188" s="25"/>
      <c r="I188" s="25"/>
      <c r="J188" s="25"/>
      <c r="K188" s="25"/>
      <c r="L188" s="25"/>
      <c r="M188" s="25"/>
      <c r="N188" s="25"/>
      <c r="O188" s="25"/>
      <c r="P188" s="25"/>
      <c r="Q188" s="25"/>
      <c r="R188" s="25"/>
    </row>
    <row r="189" spans="2:18" ht="21" customHeight="1" x14ac:dyDescent="0.45">
      <c r="B189" s="230" t="s">
        <v>260</v>
      </c>
      <c r="C189" s="129"/>
      <c r="D189" s="129"/>
      <c r="E189" s="129"/>
      <c r="F189" s="129"/>
      <c r="G189" s="129"/>
      <c r="H189" s="129"/>
      <c r="I189" s="129"/>
      <c r="J189" s="129"/>
      <c r="K189" s="129"/>
      <c r="L189" s="129"/>
      <c r="M189" s="129"/>
      <c r="N189" s="129"/>
      <c r="O189" s="129"/>
      <c r="P189" s="129"/>
      <c r="Q189" s="129"/>
      <c r="R189" s="129"/>
    </row>
    <row r="190" spans="2:18" ht="21" customHeight="1" x14ac:dyDescent="0.45">
      <c r="B190" s="215" t="s">
        <v>563</v>
      </c>
      <c r="C190" s="129"/>
      <c r="D190" s="129"/>
      <c r="E190" s="129"/>
      <c r="F190" s="129"/>
      <c r="G190" s="129"/>
      <c r="H190" s="129"/>
      <c r="I190" s="129"/>
      <c r="J190" s="129"/>
      <c r="K190" s="129"/>
      <c r="L190" s="129"/>
      <c r="M190" s="129"/>
      <c r="N190" s="140"/>
      <c r="O190" s="245"/>
      <c r="P190" s="129"/>
      <c r="Q190" s="129"/>
      <c r="R190" s="129"/>
    </row>
    <row r="191" spans="2:18" ht="21" customHeight="1" x14ac:dyDescent="0.45">
      <c r="B191" s="215" t="s">
        <v>564</v>
      </c>
      <c r="C191" s="129"/>
      <c r="D191" s="129"/>
      <c r="E191" s="129"/>
      <c r="F191" s="129"/>
      <c r="G191" s="129"/>
      <c r="H191" s="129"/>
      <c r="I191" s="129"/>
      <c r="J191" s="129"/>
      <c r="K191" s="129"/>
      <c r="L191" s="129"/>
      <c r="M191" s="129"/>
      <c r="N191" s="140"/>
      <c r="O191" s="245"/>
      <c r="P191" s="129"/>
      <c r="Q191" s="129"/>
      <c r="R191" s="129"/>
    </row>
    <row r="192" spans="2:18" ht="21" customHeight="1" x14ac:dyDescent="0.45">
      <c r="B192" s="215" t="s">
        <v>565</v>
      </c>
      <c r="C192" s="129"/>
      <c r="D192" s="129"/>
      <c r="E192" s="129"/>
      <c r="F192" s="129"/>
      <c r="G192" s="129"/>
      <c r="H192" s="129"/>
      <c r="I192" s="129"/>
      <c r="J192" s="129"/>
      <c r="K192" s="129"/>
      <c r="L192" s="129"/>
      <c r="M192" s="129"/>
      <c r="N192" s="140"/>
      <c r="O192" s="245"/>
      <c r="P192" s="129"/>
      <c r="Q192" s="129"/>
      <c r="R192" s="129"/>
    </row>
    <row r="193" spans="2:18" ht="21" customHeight="1" x14ac:dyDescent="0.45">
      <c r="B193" s="215" t="s">
        <v>566</v>
      </c>
      <c r="C193" s="129"/>
      <c r="D193" s="129"/>
      <c r="E193" s="129"/>
      <c r="F193" s="129"/>
      <c r="G193" s="129"/>
      <c r="H193" s="129"/>
      <c r="I193" s="129"/>
      <c r="J193" s="129"/>
      <c r="K193" s="129"/>
      <c r="L193" s="129"/>
      <c r="M193" s="129"/>
      <c r="N193" s="140"/>
      <c r="O193" s="245"/>
      <c r="P193" s="129"/>
      <c r="Q193" s="129"/>
      <c r="R193" s="129"/>
    </row>
    <row r="194" spans="2:18" ht="21" customHeight="1" x14ac:dyDescent="0.45">
      <c r="B194" s="215" t="s">
        <v>567</v>
      </c>
      <c r="C194" s="129"/>
      <c r="D194" s="129"/>
      <c r="E194" s="129"/>
      <c r="F194" s="129"/>
      <c r="G194" s="129"/>
      <c r="H194" s="129"/>
      <c r="I194" s="129"/>
      <c r="J194" s="129"/>
      <c r="K194" s="129"/>
      <c r="L194" s="129"/>
      <c r="M194" s="129"/>
      <c r="N194" s="140"/>
      <c r="O194" s="245">
        <f>O191+O192-O193</f>
        <v>0</v>
      </c>
      <c r="P194" s="129"/>
      <c r="Q194" s="129"/>
      <c r="R194" s="129"/>
    </row>
    <row r="195" spans="2:18" ht="4.95" customHeight="1" x14ac:dyDescent="0.55000000000000004">
      <c r="B195" s="25"/>
      <c r="C195" s="25"/>
      <c r="D195" s="25"/>
      <c r="E195" s="25"/>
      <c r="F195" s="25"/>
      <c r="G195" s="25"/>
      <c r="H195" s="25"/>
      <c r="I195" s="25"/>
      <c r="J195" s="25"/>
      <c r="K195" s="25"/>
      <c r="L195" s="25"/>
      <c r="M195" s="25"/>
      <c r="N195" s="25"/>
      <c r="O195" s="25"/>
      <c r="P195" s="25"/>
      <c r="Q195" s="25"/>
      <c r="R195" s="25"/>
    </row>
    <row r="196" spans="2:18" ht="21" customHeight="1" x14ac:dyDescent="0.45">
      <c r="B196" s="230" t="s">
        <v>261</v>
      </c>
      <c r="C196" s="129"/>
      <c r="D196" s="129"/>
      <c r="E196" s="129"/>
      <c r="F196" s="129"/>
      <c r="G196" s="129"/>
      <c r="H196" s="129"/>
      <c r="I196" s="129"/>
      <c r="J196" s="129"/>
      <c r="K196" s="129"/>
      <c r="L196" s="129"/>
      <c r="M196" s="129"/>
      <c r="N196" s="129"/>
      <c r="O196" s="129"/>
      <c r="P196" s="129"/>
      <c r="Q196" s="129"/>
      <c r="R196" s="129"/>
    </row>
    <row r="197" spans="2:18" ht="21" customHeight="1" x14ac:dyDescent="0.45">
      <c r="B197" s="215" t="s">
        <v>568</v>
      </c>
      <c r="C197" s="129"/>
      <c r="D197" s="129"/>
      <c r="E197" s="129"/>
      <c r="F197" s="129"/>
      <c r="G197" s="129"/>
      <c r="H197" s="129"/>
      <c r="I197" s="129"/>
      <c r="J197" s="129"/>
      <c r="K197" s="129"/>
      <c r="L197" s="129"/>
      <c r="M197" s="129"/>
      <c r="N197" s="140"/>
      <c r="O197" s="128" t="s">
        <v>569</v>
      </c>
      <c r="P197" s="129"/>
      <c r="Q197" s="129"/>
      <c r="R197" s="129"/>
    </row>
    <row r="198" spans="2:18" ht="21" customHeight="1" x14ac:dyDescent="0.55000000000000004">
      <c r="B198" s="25"/>
      <c r="C198" s="25"/>
      <c r="D198" s="25"/>
      <c r="E198" s="25"/>
      <c r="F198" s="25"/>
      <c r="G198" s="25"/>
      <c r="H198" s="25"/>
      <c r="I198" s="25"/>
      <c r="J198" s="25"/>
      <c r="K198" s="25"/>
      <c r="L198" s="25"/>
      <c r="M198" s="25"/>
      <c r="N198" s="25"/>
      <c r="O198" s="25"/>
      <c r="P198" s="25"/>
      <c r="Q198" s="25"/>
      <c r="R198" s="25"/>
    </row>
    <row r="199" spans="2:18" ht="21" customHeight="1" x14ac:dyDescent="0.45">
      <c r="B199" s="230" t="s">
        <v>262</v>
      </c>
      <c r="C199" s="129"/>
      <c r="D199" s="129"/>
      <c r="E199" s="129"/>
      <c r="F199" s="129"/>
      <c r="G199" s="129"/>
      <c r="H199" s="129"/>
      <c r="I199" s="129"/>
      <c r="J199" s="129"/>
      <c r="K199" s="129"/>
      <c r="L199" s="129"/>
      <c r="M199" s="129"/>
      <c r="N199" s="129"/>
      <c r="O199" s="129"/>
      <c r="P199" s="129"/>
      <c r="Q199" s="129"/>
      <c r="R199" s="129"/>
    </row>
    <row r="200" spans="2:18" ht="21" customHeight="1" x14ac:dyDescent="0.45">
      <c r="B200" s="262" t="s">
        <v>570</v>
      </c>
      <c r="C200" s="263" t="s">
        <v>571</v>
      </c>
      <c r="D200" s="138"/>
      <c r="E200" s="189"/>
      <c r="F200" s="329" t="s">
        <v>572</v>
      </c>
      <c r="G200" s="122"/>
      <c r="H200" s="122"/>
      <c r="I200" s="122"/>
      <c r="J200" s="122"/>
      <c r="K200" s="122"/>
      <c r="L200" s="122"/>
      <c r="M200" s="122"/>
      <c r="N200" s="122"/>
      <c r="O200" s="190"/>
      <c r="P200" s="121" t="s">
        <v>573</v>
      </c>
      <c r="Q200" s="138"/>
      <c r="R200" s="138"/>
    </row>
    <row r="201" spans="2:18" ht="21" customHeight="1" x14ac:dyDescent="0.45">
      <c r="B201" s="190"/>
      <c r="C201" s="328"/>
      <c r="D201" s="122"/>
      <c r="E201" s="190"/>
      <c r="F201" s="147" t="s">
        <v>574</v>
      </c>
      <c r="G201" s="129"/>
      <c r="H201" s="140"/>
      <c r="I201" s="147" t="s">
        <v>575</v>
      </c>
      <c r="J201" s="140"/>
      <c r="K201" s="147" t="s">
        <v>531</v>
      </c>
      <c r="L201" s="140"/>
      <c r="M201" s="128" t="s">
        <v>530</v>
      </c>
      <c r="N201" s="129"/>
      <c r="O201" s="129"/>
      <c r="P201" s="328"/>
      <c r="Q201" s="122"/>
      <c r="R201" s="122"/>
    </row>
    <row r="202" spans="2:18" ht="21" customHeight="1" x14ac:dyDescent="0.45">
      <c r="B202" s="33" t="s">
        <v>576</v>
      </c>
      <c r="C202" s="297"/>
      <c r="D202" s="129"/>
      <c r="E202" s="140"/>
      <c r="F202" s="248"/>
      <c r="G202" s="129"/>
      <c r="H202" s="140"/>
      <c r="I202" s="248"/>
      <c r="J202" s="140"/>
      <c r="K202" s="248"/>
      <c r="L202" s="140"/>
      <c r="M202" s="245"/>
      <c r="N202" s="129"/>
      <c r="O202" s="129"/>
      <c r="P202" s="245"/>
      <c r="Q202" s="129"/>
      <c r="R202" s="129"/>
    </row>
    <row r="203" spans="2:18" ht="21" customHeight="1" x14ac:dyDescent="0.45">
      <c r="B203" s="33" t="s">
        <v>577</v>
      </c>
      <c r="C203" s="297"/>
      <c r="D203" s="129"/>
      <c r="E203" s="140"/>
      <c r="F203" s="147" t="s">
        <v>578</v>
      </c>
      <c r="G203" s="129"/>
      <c r="H203" s="140"/>
      <c r="I203" s="248"/>
      <c r="J203" s="140"/>
      <c r="K203" s="248"/>
      <c r="L203" s="140"/>
      <c r="M203" s="245"/>
      <c r="N203" s="129"/>
      <c r="O203" s="129"/>
      <c r="P203" s="245"/>
      <c r="Q203" s="129"/>
      <c r="R203" s="129"/>
    </row>
    <row r="204" spans="2:18" ht="21" customHeight="1" x14ac:dyDescent="0.45">
      <c r="B204" s="33" t="s">
        <v>579</v>
      </c>
      <c r="C204" s="297"/>
      <c r="D204" s="129"/>
      <c r="E204" s="140"/>
      <c r="F204" s="147" t="s">
        <v>578</v>
      </c>
      <c r="G204" s="129"/>
      <c r="H204" s="140"/>
      <c r="I204" s="147" t="s">
        <v>578</v>
      </c>
      <c r="J204" s="140"/>
      <c r="K204" s="248"/>
      <c r="L204" s="140"/>
      <c r="M204" s="245"/>
      <c r="N204" s="129"/>
      <c r="O204" s="129"/>
      <c r="P204" s="245"/>
      <c r="Q204" s="129"/>
      <c r="R204" s="129"/>
    </row>
    <row r="205" spans="2:18" ht="21" customHeight="1" x14ac:dyDescent="0.45">
      <c r="B205" s="33" t="s">
        <v>580</v>
      </c>
      <c r="C205" s="297"/>
      <c r="D205" s="129"/>
      <c r="E205" s="140"/>
      <c r="F205" s="147" t="s">
        <v>578</v>
      </c>
      <c r="G205" s="129"/>
      <c r="H205" s="140"/>
      <c r="I205" s="147" t="s">
        <v>578</v>
      </c>
      <c r="J205" s="140"/>
      <c r="K205" s="147" t="s">
        <v>578</v>
      </c>
      <c r="L205" s="140"/>
      <c r="M205" s="245"/>
      <c r="N205" s="129"/>
      <c r="O205" s="129"/>
      <c r="P205" s="245"/>
      <c r="Q205" s="129"/>
      <c r="R205" s="129"/>
    </row>
    <row r="206" spans="2:18" ht="21" customHeight="1" x14ac:dyDescent="0.45">
      <c r="B206" s="33" t="s">
        <v>530</v>
      </c>
      <c r="C206" s="297"/>
      <c r="D206" s="129"/>
      <c r="E206" s="140"/>
      <c r="F206" s="147" t="s">
        <v>578</v>
      </c>
      <c r="G206" s="129"/>
      <c r="H206" s="140"/>
      <c r="I206" s="147" t="s">
        <v>578</v>
      </c>
      <c r="J206" s="140"/>
      <c r="K206" s="147" t="s">
        <v>578</v>
      </c>
      <c r="L206" s="140"/>
      <c r="M206" s="128" t="s">
        <v>578</v>
      </c>
      <c r="N206" s="129"/>
      <c r="O206" s="129"/>
      <c r="P206" s="330" t="s">
        <v>578</v>
      </c>
      <c r="Q206" s="129"/>
      <c r="R206" s="129"/>
    </row>
    <row r="207" spans="2:18" ht="21" customHeight="1" x14ac:dyDescent="0.55000000000000004">
      <c r="B207" s="25"/>
      <c r="C207" s="25"/>
      <c r="D207" s="25"/>
      <c r="E207" s="25"/>
      <c r="F207" s="25"/>
      <c r="G207" s="25"/>
      <c r="H207" s="25"/>
      <c r="I207" s="25"/>
      <c r="J207" s="25"/>
      <c r="K207" s="25"/>
      <c r="L207" s="25"/>
      <c r="M207" s="25"/>
      <c r="N207" s="25"/>
      <c r="O207" s="25"/>
      <c r="P207" s="25"/>
      <c r="Q207" s="25"/>
      <c r="R207" s="25"/>
    </row>
    <row r="208" spans="2:18" ht="21" customHeight="1" x14ac:dyDescent="0.45">
      <c r="B208" s="230" t="s">
        <v>263</v>
      </c>
      <c r="C208" s="129"/>
      <c r="D208" s="129"/>
      <c r="E208" s="129"/>
      <c r="F208" s="129"/>
      <c r="G208" s="129"/>
      <c r="H208" s="129"/>
      <c r="I208" s="129"/>
      <c r="J208" s="129"/>
      <c r="K208" s="129"/>
      <c r="L208" s="129"/>
      <c r="M208" s="129"/>
      <c r="N208" s="129"/>
      <c r="O208" s="129"/>
      <c r="P208" s="129"/>
      <c r="Q208" s="129"/>
      <c r="R208" s="129"/>
    </row>
    <row r="209" spans="2:18" ht="21" customHeight="1" x14ac:dyDescent="0.45">
      <c r="B209" s="262" t="s">
        <v>581</v>
      </c>
      <c r="C209" s="122"/>
      <c r="D209" s="122"/>
      <c r="E209" s="122"/>
      <c r="F209" s="190"/>
      <c r="G209" s="147" t="s">
        <v>582</v>
      </c>
      <c r="H209" s="129"/>
      <c r="I209" s="129"/>
      <c r="J209" s="129"/>
      <c r="K209" s="129"/>
      <c r="L209" s="140"/>
      <c r="M209" s="128" t="s">
        <v>583</v>
      </c>
      <c r="N209" s="129"/>
      <c r="O209" s="129"/>
      <c r="P209" s="129"/>
      <c r="Q209" s="129"/>
      <c r="R209" s="129"/>
    </row>
    <row r="210" spans="2:18" ht="21" customHeight="1" x14ac:dyDescent="0.45">
      <c r="B210" s="297"/>
      <c r="C210" s="129"/>
      <c r="D210" s="129"/>
      <c r="E210" s="129"/>
      <c r="F210" s="140"/>
      <c r="G210" s="248"/>
      <c r="H210" s="129"/>
      <c r="I210" s="129"/>
      <c r="J210" s="129"/>
      <c r="K210" s="129"/>
      <c r="L210" s="140"/>
      <c r="M210" s="251"/>
      <c r="N210" s="129"/>
      <c r="O210" s="129"/>
      <c r="P210" s="129"/>
      <c r="Q210" s="129"/>
      <c r="R210" s="129"/>
    </row>
    <row r="211" spans="2:18" ht="21" customHeight="1" x14ac:dyDescent="0.55000000000000004">
      <c r="B211" s="25"/>
      <c r="C211" s="25"/>
      <c r="D211" s="25"/>
      <c r="E211" s="25"/>
      <c r="F211" s="25"/>
      <c r="G211" s="25"/>
      <c r="H211" s="25"/>
      <c r="I211" s="25"/>
      <c r="J211" s="25"/>
      <c r="K211" s="25"/>
      <c r="L211" s="25"/>
      <c r="M211" s="25"/>
      <c r="N211" s="25"/>
      <c r="O211" s="25"/>
      <c r="P211" s="25"/>
      <c r="Q211" s="25"/>
      <c r="R211" s="25"/>
    </row>
    <row r="212" spans="2:18" ht="21" customHeight="1" x14ac:dyDescent="0.45">
      <c r="B212" s="230" t="s">
        <v>290</v>
      </c>
      <c r="C212" s="129"/>
      <c r="D212" s="129"/>
      <c r="E212" s="129"/>
      <c r="F212" s="129"/>
      <c r="G212" s="129"/>
      <c r="H212" s="129"/>
      <c r="I212" s="129"/>
      <c r="J212" s="129"/>
      <c r="K212" s="129"/>
      <c r="L212" s="129"/>
      <c r="M212" s="129"/>
      <c r="N212" s="129"/>
      <c r="O212" s="129"/>
      <c r="P212" s="129"/>
      <c r="Q212" s="129"/>
      <c r="R212" s="129"/>
    </row>
    <row r="213" spans="2:18" ht="21" customHeight="1" x14ac:dyDescent="0.45">
      <c r="B213" s="272" t="s">
        <v>292</v>
      </c>
      <c r="C213" s="135"/>
      <c r="D213" s="135"/>
      <c r="E213" s="135"/>
      <c r="F213" s="135"/>
      <c r="G213" s="135"/>
      <c r="H213" s="135"/>
      <c r="I213" s="135"/>
      <c r="J213" s="135"/>
      <c r="K213" s="135"/>
      <c r="L213" s="135"/>
      <c r="M213" s="135"/>
      <c r="N213" s="135"/>
      <c r="O213" s="135"/>
      <c r="P213" s="135"/>
      <c r="Q213" s="135"/>
      <c r="R213" s="135"/>
    </row>
    <row r="214" spans="2:18" ht="21" customHeight="1" x14ac:dyDescent="0.45">
      <c r="B214" s="309" t="s">
        <v>584</v>
      </c>
      <c r="C214" s="135"/>
      <c r="D214" s="135"/>
      <c r="E214" s="135"/>
      <c r="F214" s="135"/>
      <c r="G214" s="135"/>
      <c r="H214" s="135"/>
      <c r="I214" s="135"/>
      <c r="J214" s="135"/>
      <c r="K214" s="135"/>
      <c r="L214" s="135"/>
      <c r="M214" s="187"/>
      <c r="N214" s="306"/>
      <c r="O214" s="135"/>
      <c r="P214" s="135"/>
      <c r="Q214" s="135"/>
      <c r="R214" s="135"/>
    </row>
    <row r="215" spans="2:18" ht="21" customHeight="1" x14ac:dyDescent="0.45">
      <c r="B215" s="309" t="s">
        <v>585</v>
      </c>
      <c r="C215" s="135"/>
      <c r="D215" s="135"/>
      <c r="E215" s="135"/>
      <c r="F215" s="135"/>
      <c r="G215" s="135"/>
      <c r="H215" s="135"/>
      <c r="I215" s="135"/>
      <c r="J215" s="135"/>
      <c r="K215" s="135"/>
      <c r="L215" s="135"/>
      <c r="M215" s="187"/>
      <c r="N215" s="306">
        <f>N214*0.5</f>
        <v>0</v>
      </c>
      <c r="O215" s="135"/>
      <c r="P215" s="135"/>
      <c r="Q215" s="135"/>
      <c r="R215" s="135"/>
    </row>
    <row r="216" spans="2:18" ht="21" customHeight="1" x14ac:dyDescent="0.45">
      <c r="B216" s="309" t="s">
        <v>586</v>
      </c>
      <c r="C216" s="135"/>
      <c r="D216" s="135"/>
      <c r="E216" s="135"/>
      <c r="F216" s="135"/>
      <c r="G216" s="135"/>
      <c r="H216" s="135"/>
      <c r="I216" s="135"/>
      <c r="J216" s="135"/>
      <c r="K216" s="135"/>
      <c r="L216" s="135"/>
      <c r="M216" s="187"/>
      <c r="N216" s="306"/>
      <c r="O216" s="135"/>
      <c r="P216" s="135"/>
      <c r="Q216" s="135"/>
      <c r="R216" s="135"/>
    </row>
    <row r="217" spans="2:18" ht="21" customHeight="1" x14ac:dyDescent="0.45">
      <c r="B217" s="295" t="s">
        <v>587</v>
      </c>
      <c r="C217" s="129"/>
      <c r="D217" s="129"/>
      <c r="E217" s="129"/>
      <c r="F217" s="129"/>
      <c r="G217" s="129"/>
      <c r="H217" s="129"/>
      <c r="I217" s="129"/>
      <c r="J217" s="129"/>
      <c r="K217" s="129"/>
      <c r="L217" s="129"/>
      <c r="M217" s="140"/>
      <c r="N217" s="296">
        <f>N216-N215</f>
        <v>0</v>
      </c>
      <c r="O217" s="129"/>
      <c r="P217" s="129"/>
      <c r="Q217" s="129"/>
      <c r="R217" s="129"/>
    </row>
    <row r="218" spans="2:18" ht="21" customHeight="1" x14ac:dyDescent="0.55000000000000004">
      <c r="B218" s="25"/>
      <c r="C218" s="25"/>
      <c r="D218" s="25"/>
      <c r="E218" s="25"/>
      <c r="F218" s="25"/>
      <c r="G218" s="25"/>
      <c r="H218" s="25"/>
      <c r="I218" s="25"/>
      <c r="J218" s="25"/>
      <c r="K218" s="25"/>
      <c r="L218" s="25"/>
      <c r="M218" s="25"/>
      <c r="N218" s="25"/>
      <c r="O218" s="25"/>
      <c r="P218" s="25"/>
      <c r="Q218" s="25"/>
      <c r="R218" s="25"/>
    </row>
    <row r="219" spans="2:18" ht="21" customHeight="1" x14ac:dyDescent="0.45">
      <c r="B219" s="230" t="s">
        <v>295</v>
      </c>
      <c r="C219" s="129"/>
      <c r="D219" s="129"/>
      <c r="E219" s="129"/>
      <c r="F219" s="129"/>
      <c r="G219" s="129"/>
      <c r="H219" s="129"/>
      <c r="I219" s="129"/>
      <c r="J219" s="129"/>
      <c r="K219" s="129"/>
      <c r="L219" s="129"/>
      <c r="M219" s="129"/>
      <c r="N219" s="129"/>
      <c r="O219" s="129"/>
      <c r="P219" s="129"/>
      <c r="Q219" s="129"/>
      <c r="R219" s="129"/>
    </row>
    <row r="220" spans="2:18" ht="21" customHeight="1" x14ac:dyDescent="0.45">
      <c r="B220" s="331" t="s">
        <v>296</v>
      </c>
      <c r="C220" s="122"/>
      <c r="D220" s="122"/>
      <c r="E220" s="122"/>
      <c r="F220" s="122"/>
      <c r="G220" s="122"/>
      <c r="H220" s="122"/>
      <c r="I220" s="122"/>
      <c r="J220" s="122"/>
      <c r="K220" s="122"/>
      <c r="L220" s="122"/>
      <c r="M220" s="122"/>
      <c r="N220" s="122"/>
      <c r="O220" s="122"/>
      <c r="P220" s="122"/>
      <c r="Q220" s="122"/>
      <c r="R220" s="122"/>
    </row>
    <row r="221" spans="2:18" ht="21" customHeight="1" x14ac:dyDescent="0.45">
      <c r="B221" s="34" t="s">
        <v>588</v>
      </c>
      <c r="C221" s="263" t="s">
        <v>589</v>
      </c>
      <c r="D221" s="122"/>
      <c r="E221" s="190"/>
      <c r="F221" s="263" t="s">
        <v>590</v>
      </c>
      <c r="G221" s="122"/>
      <c r="H221" s="190"/>
      <c r="I221" s="263" t="s">
        <v>591</v>
      </c>
      <c r="J221" s="122"/>
      <c r="K221" s="190"/>
      <c r="L221" s="121" t="s">
        <v>592</v>
      </c>
      <c r="M221" s="122"/>
      <c r="N221" s="122"/>
      <c r="O221" s="122"/>
      <c r="P221" s="121" t="s">
        <v>593</v>
      </c>
      <c r="Q221" s="122"/>
      <c r="R221" s="122"/>
    </row>
    <row r="222" spans="2:18" ht="21" customHeight="1" x14ac:dyDescent="0.45">
      <c r="B222" s="40"/>
      <c r="C222" s="297">
        <f>N228</f>
        <v>0</v>
      </c>
      <c r="D222" s="129"/>
      <c r="E222" s="140"/>
      <c r="F222" s="248"/>
      <c r="G222" s="129"/>
      <c r="H222" s="140"/>
      <c r="I222" s="248">
        <f>Q241+M248</f>
        <v>0</v>
      </c>
      <c r="J222" s="129"/>
      <c r="K222" s="140"/>
      <c r="L222" s="245">
        <f>K252</f>
        <v>0</v>
      </c>
      <c r="M222" s="129"/>
      <c r="N222" s="129"/>
      <c r="O222" s="129"/>
      <c r="P222" s="245"/>
      <c r="Q222" s="129"/>
      <c r="R222" s="129"/>
    </row>
    <row r="223" spans="2:18" ht="21" customHeight="1" x14ac:dyDescent="0.55000000000000004">
      <c r="B223" s="25"/>
      <c r="C223" s="25"/>
      <c r="D223" s="25"/>
      <c r="E223" s="25"/>
      <c r="F223" s="25"/>
      <c r="G223" s="25"/>
      <c r="H223" s="25"/>
      <c r="I223" s="25"/>
      <c r="J223" s="25"/>
      <c r="K223" s="25"/>
      <c r="L223" s="25"/>
      <c r="M223" s="25"/>
      <c r="N223" s="25"/>
      <c r="O223" s="25"/>
      <c r="P223" s="25"/>
      <c r="Q223" s="25"/>
      <c r="R223" s="25"/>
    </row>
    <row r="224" spans="2:18" ht="21" customHeight="1" x14ac:dyDescent="0.45">
      <c r="B224" s="230" t="s">
        <v>297</v>
      </c>
      <c r="C224" s="129"/>
      <c r="D224" s="129"/>
      <c r="E224" s="129"/>
      <c r="F224" s="129"/>
      <c r="G224" s="129"/>
      <c r="H224" s="129"/>
      <c r="I224" s="129"/>
      <c r="J224" s="129"/>
      <c r="K224" s="129"/>
      <c r="L224" s="129"/>
      <c r="M224" s="129"/>
      <c r="N224" s="129"/>
      <c r="O224" s="129"/>
      <c r="P224" s="129"/>
      <c r="Q224" s="129"/>
      <c r="R224" s="129"/>
    </row>
    <row r="225" spans="2:18" ht="21" customHeight="1" x14ac:dyDescent="0.45">
      <c r="B225" s="230" t="s">
        <v>298</v>
      </c>
      <c r="C225" s="129"/>
      <c r="D225" s="129"/>
      <c r="E225" s="129"/>
      <c r="F225" s="129"/>
      <c r="G225" s="129"/>
      <c r="H225" s="129"/>
      <c r="I225" s="129"/>
      <c r="J225" s="129"/>
      <c r="K225" s="129"/>
      <c r="L225" s="129"/>
      <c r="M225" s="129"/>
      <c r="N225" s="135"/>
      <c r="O225" s="135"/>
      <c r="P225" s="135"/>
      <c r="Q225" s="135"/>
      <c r="R225" s="135"/>
    </row>
    <row r="226" spans="2:18" ht="21" customHeight="1" x14ac:dyDescent="0.45">
      <c r="B226" s="334" t="s">
        <v>594</v>
      </c>
      <c r="C226" s="122"/>
      <c r="D226" s="122"/>
      <c r="E226" s="122"/>
      <c r="F226" s="122"/>
      <c r="G226" s="190"/>
      <c r="H226" s="335" t="s">
        <v>595</v>
      </c>
      <c r="I226" s="129"/>
      <c r="J226" s="129"/>
      <c r="K226" s="129"/>
      <c r="L226" s="129"/>
      <c r="M226" s="140"/>
      <c r="N226" s="336" t="s">
        <v>419</v>
      </c>
      <c r="O226" s="129"/>
      <c r="P226" s="129"/>
      <c r="Q226" s="129"/>
      <c r="R226" s="129"/>
    </row>
    <row r="227" spans="2:18" ht="30" customHeight="1" x14ac:dyDescent="0.45">
      <c r="B227" s="139" t="s">
        <v>596</v>
      </c>
      <c r="C227" s="140"/>
      <c r="D227" s="141" t="s">
        <v>597</v>
      </c>
      <c r="E227" s="129"/>
      <c r="F227" s="129"/>
      <c r="G227" s="140"/>
      <c r="H227" s="141" t="s">
        <v>598</v>
      </c>
      <c r="I227" s="129"/>
      <c r="J227" s="140"/>
      <c r="K227" s="141" t="s">
        <v>599</v>
      </c>
      <c r="L227" s="129"/>
      <c r="M227" s="140"/>
      <c r="N227" s="121" t="s">
        <v>600</v>
      </c>
      <c r="O227" s="122"/>
      <c r="P227" s="122"/>
      <c r="Q227" s="122"/>
      <c r="R227" s="122"/>
    </row>
    <row r="228" spans="2:18" ht="21" customHeight="1" x14ac:dyDescent="0.45">
      <c r="B228" s="297"/>
      <c r="C228" s="140"/>
      <c r="D228" s="261"/>
      <c r="E228" s="332"/>
      <c r="F228" s="332"/>
      <c r="G228" s="333"/>
      <c r="H228" s="248"/>
      <c r="I228" s="129"/>
      <c r="J228" s="140"/>
      <c r="K228" s="261"/>
      <c r="L228" s="129"/>
      <c r="M228" s="140"/>
      <c r="N228" s="245"/>
      <c r="O228" s="129"/>
      <c r="P228" s="129"/>
      <c r="Q228" s="129"/>
      <c r="R228" s="129"/>
    </row>
    <row r="229" spans="2:18" ht="21" customHeight="1" x14ac:dyDescent="0.55000000000000004">
      <c r="B229" s="25"/>
      <c r="C229" s="25"/>
      <c r="D229" s="25"/>
      <c r="E229" s="25"/>
      <c r="F229" s="25"/>
      <c r="G229" s="25"/>
      <c r="H229" s="25"/>
      <c r="I229" s="25"/>
      <c r="J229" s="25"/>
      <c r="K229" s="25"/>
      <c r="L229" s="25"/>
      <c r="M229" s="25"/>
      <c r="N229" s="25"/>
      <c r="O229" s="25"/>
      <c r="P229" s="25"/>
      <c r="Q229" s="25"/>
      <c r="R229" s="25"/>
    </row>
    <row r="230" spans="2:18" ht="21" customHeight="1" x14ac:dyDescent="0.45">
      <c r="B230" s="230" t="s">
        <v>601</v>
      </c>
      <c r="C230" s="129"/>
      <c r="D230" s="129"/>
      <c r="E230" s="129"/>
      <c r="F230" s="129"/>
      <c r="G230" s="129"/>
      <c r="H230" s="129"/>
      <c r="I230" s="129"/>
      <c r="J230" s="129"/>
      <c r="K230" s="129"/>
      <c r="L230" s="129"/>
      <c r="M230" s="129"/>
      <c r="N230" s="129"/>
      <c r="O230" s="129"/>
      <c r="P230" s="129"/>
      <c r="Q230" s="129"/>
      <c r="R230" s="129"/>
    </row>
    <row r="231" spans="2:18" ht="31.95" customHeight="1" x14ac:dyDescent="0.45">
      <c r="B231" s="337" t="s">
        <v>602</v>
      </c>
      <c r="C231" s="190"/>
      <c r="D231" s="263" t="s">
        <v>603</v>
      </c>
      <c r="E231" s="122"/>
      <c r="F231" s="122"/>
      <c r="G231" s="190"/>
      <c r="H231" s="263" t="s">
        <v>604</v>
      </c>
      <c r="I231" s="122"/>
      <c r="J231" s="190"/>
      <c r="K231" s="263" t="s">
        <v>605</v>
      </c>
      <c r="L231" s="122"/>
      <c r="M231" s="190"/>
      <c r="N231" s="121" t="s">
        <v>606</v>
      </c>
      <c r="O231" s="122"/>
      <c r="P231" s="122"/>
      <c r="Q231" s="122"/>
      <c r="R231" s="122"/>
    </row>
    <row r="232" spans="2:18" ht="21" customHeight="1" x14ac:dyDescent="0.45">
      <c r="B232" s="297"/>
      <c r="C232" s="140"/>
      <c r="D232" s="338"/>
      <c r="E232" s="339"/>
      <c r="F232" s="339"/>
      <c r="G232" s="340"/>
      <c r="H232" s="341"/>
      <c r="I232" s="129"/>
      <c r="J232" s="140"/>
      <c r="K232" s="248"/>
      <c r="L232" s="129"/>
      <c r="M232" s="140"/>
      <c r="N232" s="245"/>
      <c r="O232" s="129"/>
      <c r="P232" s="129"/>
      <c r="Q232" s="129"/>
      <c r="R232" s="129"/>
    </row>
    <row r="233" spans="2:18" ht="21" customHeight="1" x14ac:dyDescent="0.55000000000000004">
      <c r="B233" s="25"/>
      <c r="C233" s="25"/>
      <c r="D233" s="25"/>
      <c r="E233" s="25"/>
      <c r="F233" s="25"/>
      <c r="G233" s="25"/>
      <c r="H233" s="25"/>
      <c r="I233" s="25"/>
      <c r="J233" s="25"/>
      <c r="K233" s="25"/>
      <c r="L233" s="25"/>
      <c r="M233" s="25"/>
      <c r="N233" s="25"/>
      <c r="O233" s="25"/>
      <c r="P233" s="25"/>
      <c r="Q233" s="25"/>
      <c r="R233" s="25"/>
    </row>
    <row r="234" spans="2:18" ht="21" customHeight="1" x14ac:dyDescent="0.45">
      <c r="B234" s="230" t="s">
        <v>607</v>
      </c>
      <c r="C234" s="129"/>
      <c r="D234" s="129"/>
      <c r="E234" s="129"/>
      <c r="F234" s="129"/>
      <c r="G234" s="129"/>
      <c r="H234" s="129"/>
      <c r="I234" s="129"/>
      <c r="J234" s="129"/>
      <c r="K234" s="129"/>
      <c r="L234" s="129"/>
      <c r="M234" s="129"/>
      <c r="N234" s="129"/>
      <c r="O234" s="129"/>
      <c r="P234" s="129"/>
      <c r="Q234" s="129"/>
      <c r="R234" s="129"/>
    </row>
    <row r="235" spans="2:18" ht="67.95" customHeight="1" x14ac:dyDescent="0.45">
      <c r="B235" s="337" t="s">
        <v>602</v>
      </c>
      <c r="C235" s="190"/>
      <c r="D235" s="263" t="s">
        <v>603</v>
      </c>
      <c r="E235" s="122"/>
      <c r="F235" s="122"/>
      <c r="G235" s="190"/>
      <c r="H235" s="263" t="s">
        <v>608</v>
      </c>
      <c r="I235" s="122"/>
      <c r="J235" s="190"/>
      <c r="K235" s="263" t="s">
        <v>609</v>
      </c>
      <c r="L235" s="122"/>
      <c r="M235" s="190"/>
      <c r="N235" s="121" t="s">
        <v>610</v>
      </c>
      <c r="O235" s="122"/>
      <c r="P235" s="122"/>
      <c r="Q235" s="122"/>
      <c r="R235" s="122"/>
    </row>
    <row r="236" spans="2:18" ht="21.65" customHeight="1" x14ac:dyDescent="0.45">
      <c r="B236" s="297"/>
      <c r="C236" s="140"/>
      <c r="D236" s="338"/>
      <c r="E236" s="339"/>
      <c r="F236" s="339"/>
      <c r="G236" s="340"/>
      <c r="H236" s="341"/>
      <c r="I236" s="129"/>
      <c r="J236" s="140"/>
      <c r="K236" s="248"/>
      <c r="L236" s="129"/>
      <c r="M236" s="140"/>
      <c r="N236" s="245"/>
      <c r="O236" s="129"/>
      <c r="P236" s="129"/>
      <c r="Q236" s="129"/>
      <c r="R236" s="129"/>
    </row>
    <row r="237" spans="2:18" ht="21.65" customHeight="1" x14ac:dyDescent="0.55000000000000004">
      <c r="B237" s="37"/>
      <c r="C237" s="37"/>
      <c r="D237" s="37"/>
      <c r="E237" s="37"/>
      <c r="F237" s="37"/>
      <c r="G237" s="37"/>
      <c r="H237" s="37"/>
      <c r="I237" s="37"/>
      <c r="J237" s="38"/>
      <c r="K237" s="38"/>
      <c r="L237" s="38"/>
      <c r="M237" s="38"/>
      <c r="N237" s="38"/>
      <c r="O237" s="38"/>
      <c r="P237" s="38"/>
      <c r="Q237" s="38"/>
      <c r="R237" s="38"/>
    </row>
    <row r="238" spans="2:18" ht="21.65" customHeight="1" x14ac:dyDescent="0.45">
      <c r="B238" s="272" t="s">
        <v>299</v>
      </c>
      <c r="C238" s="135"/>
      <c r="D238" s="135"/>
      <c r="E238" s="135"/>
      <c r="F238" s="135"/>
      <c r="G238" s="135"/>
      <c r="H238" s="135"/>
      <c r="I238" s="135"/>
      <c r="J238" s="135"/>
      <c r="K238" s="135"/>
      <c r="L238" s="135"/>
      <c r="M238" s="135"/>
      <c r="N238" s="135"/>
      <c r="O238" s="135"/>
      <c r="P238" s="135"/>
      <c r="Q238" s="135"/>
      <c r="R238" s="135"/>
    </row>
    <row r="239" spans="2:18" ht="21.65" customHeight="1" x14ac:dyDescent="0.45">
      <c r="B239" s="230" t="s">
        <v>300</v>
      </c>
      <c r="C239" s="129"/>
      <c r="D239" s="129"/>
      <c r="E239" s="129"/>
      <c r="F239" s="129"/>
      <c r="G239" s="129"/>
      <c r="H239" s="129"/>
      <c r="I239" s="129"/>
      <c r="J239" s="129"/>
      <c r="K239" s="129"/>
      <c r="L239" s="129"/>
      <c r="M239" s="129"/>
      <c r="N239" s="129"/>
      <c r="O239" s="129"/>
      <c r="P239" s="129"/>
      <c r="Q239" s="129"/>
      <c r="R239" s="129"/>
    </row>
    <row r="240" spans="2:18" ht="30.65" customHeight="1" x14ac:dyDescent="0.45">
      <c r="B240" s="30" t="s">
        <v>611</v>
      </c>
      <c r="C240" s="329" t="s">
        <v>612</v>
      </c>
      <c r="D240" s="190"/>
      <c r="E240" s="242" t="s">
        <v>613</v>
      </c>
      <c r="F240" s="190"/>
      <c r="G240" s="242" t="s">
        <v>614</v>
      </c>
      <c r="H240" s="122"/>
      <c r="I240" s="190"/>
      <c r="J240" s="39" t="s">
        <v>615</v>
      </c>
      <c r="K240" s="39" t="s">
        <v>616</v>
      </c>
      <c r="L240" s="329" t="s">
        <v>617</v>
      </c>
      <c r="M240" s="190"/>
      <c r="N240" s="31" t="s">
        <v>618</v>
      </c>
      <c r="O240" s="234" t="s">
        <v>619</v>
      </c>
      <c r="P240" s="140"/>
      <c r="Q240" s="236" t="s">
        <v>620</v>
      </c>
      <c r="R240" s="129"/>
    </row>
    <row r="241" spans="2:18" ht="21.65" customHeight="1" x14ac:dyDescent="0.45">
      <c r="B241" s="345"/>
      <c r="C241" s="220" t="s">
        <v>621</v>
      </c>
      <c r="D241" s="187"/>
      <c r="E241" s="343" t="s">
        <v>622</v>
      </c>
      <c r="F241" s="140"/>
      <c r="G241" s="344"/>
      <c r="H241" s="129"/>
      <c r="I241" s="140"/>
      <c r="J241" s="41"/>
      <c r="K241" s="42"/>
      <c r="L241" s="344"/>
      <c r="M241" s="140"/>
      <c r="N241" s="42"/>
      <c r="O241" s="344"/>
      <c r="P241" s="140"/>
      <c r="Q241" s="342"/>
      <c r="R241" s="138"/>
    </row>
    <row r="242" spans="2:18" ht="21.65" customHeight="1" x14ac:dyDescent="0.45">
      <c r="B242" s="346"/>
      <c r="C242" s="328"/>
      <c r="D242" s="190"/>
      <c r="E242" s="343" t="s">
        <v>623</v>
      </c>
      <c r="F242" s="140"/>
      <c r="G242" s="344"/>
      <c r="H242" s="129"/>
      <c r="I242" s="140"/>
      <c r="J242" s="41"/>
      <c r="K242" s="42"/>
      <c r="L242" s="344"/>
      <c r="M242" s="140"/>
      <c r="N242" s="42"/>
      <c r="O242" s="344"/>
      <c r="P242" s="140"/>
      <c r="Q242" s="328"/>
      <c r="R242" s="122"/>
    </row>
    <row r="243" spans="2:18" ht="21.65" customHeight="1" x14ac:dyDescent="0.55000000000000004">
      <c r="B243" s="25"/>
      <c r="C243" s="25"/>
      <c r="D243" s="25"/>
      <c r="E243" s="25"/>
      <c r="F243" s="25"/>
      <c r="G243" s="25"/>
      <c r="H243" s="25"/>
      <c r="I243" s="25"/>
      <c r="J243" s="25"/>
      <c r="K243" s="25"/>
      <c r="L243" s="25"/>
      <c r="M243" s="25"/>
      <c r="N243" s="25"/>
      <c r="O243" s="25"/>
      <c r="P243" s="25"/>
      <c r="Q243" s="25"/>
      <c r="R243" s="25"/>
    </row>
    <row r="244" spans="2:18" ht="21.65" customHeight="1" x14ac:dyDescent="0.45">
      <c r="B244" s="230" t="s">
        <v>301</v>
      </c>
      <c r="C244" s="129"/>
      <c r="D244" s="129"/>
      <c r="E244" s="129"/>
      <c r="F244" s="129"/>
      <c r="G244" s="129"/>
      <c r="H244" s="129"/>
      <c r="I244" s="129"/>
      <c r="J244" s="129"/>
      <c r="K244" s="129"/>
      <c r="L244" s="129"/>
      <c r="M244" s="129"/>
      <c r="N244" s="129"/>
      <c r="O244" s="129"/>
      <c r="P244" s="129"/>
      <c r="Q244" s="129"/>
      <c r="R244" s="129"/>
    </row>
    <row r="245" spans="2:18" ht="21.65" customHeight="1" x14ac:dyDescent="0.45">
      <c r="B245" s="215" t="s">
        <v>624</v>
      </c>
      <c r="C245" s="129"/>
      <c r="D245" s="129"/>
      <c r="E245" s="129"/>
      <c r="F245" s="129"/>
      <c r="G245" s="129"/>
      <c r="H245" s="129"/>
      <c r="I245" s="129"/>
      <c r="J245" s="129"/>
      <c r="K245" s="129"/>
      <c r="L245" s="140"/>
      <c r="M245" s="245"/>
      <c r="N245" s="129"/>
      <c r="O245" s="129"/>
      <c r="P245" s="129"/>
      <c r="Q245" s="129"/>
      <c r="R245" s="129"/>
    </row>
    <row r="246" spans="2:18" ht="21.65" customHeight="1" x14ac:dyDescent="0.45">
      <c r="B246" s="215" t="s">
        <v>625</v>
      </c>
      <c r="C246" s="129"/>
      <c r="D246" s="129"/>
      <c r="E246" s="129"/>
      <c r="F246" s="129"/>
      <c r="G246" s="129"/>
      <c r="H246" s="129"/>
      <c r="I246" s="129"/>
      <c r="J246" s="129"/>
      <c r="K246" s="129"/>
      <c r="L246" s="140"/>
      <c r="M246" s="245"/>
      <c r="N246" s="129"/>
      <c r="O246" s="129"/>
      <c r="P246" s="129"/>
      <c r="Q246" s="129"/>
      <c r="R246" s="129"/>
    </row>
    <row r="247" spans="2:18" ht="21.65" customHeight="1" x14ac:dyDescent="0.45">
      <c r="B247" s="215" t="s">
        <v>626</v>
      </c>
      <c r="C247" s="129"/>
      <c r="D247" s="129"/>
      <c r="E247" s="129"/>
      <c r="F247" s="129"/>
      <c r="G247" s="129"/>
      <c r="H247" s="129"/>
      <c r="I247" s="129"/>
      <c r="J247" s="129"/>
      <c r="K247" s="129"/>
      <c r="L247" s="140"/>
      <c r="M247" s="245">
        <f>M246*0.15</f>
        <v>0</v>
      </c>
      <c r="N247" s="129"/>
      <c r="O247" s="129"/>
      <c r="P247" s="129"/>
      <c r="Q247" s="129"/>
      <c r="R247" s="129"/>
    </row>
    <row r="248" spans="2:18" ht="21.65" customHeight="1" x14ac:dyDescent="0.45">
      <c r="B248" s="215" t="s">
        <v>627</v>
      </c>
      <c r="C248" s="129"/>
      <c r="D248" s="129"/>
      <c r="E248" s="129"/>
      <c r="F248" s="129"/>
      <c r="G248" s="129"/>
      <c r="H248" s="129"/>
      <c r="I248" s="129"/>
      <c r="J248" s="129"/>
      <c r="K248" s="129"/>
      <c r="L248" s="140"/>
      <c r="M248" s="245">
        <f>M247-M245</f>
        <v>0</v>
      </c>
      <c r="N248" s="296"/>
      <c r="O248" s="296"/>
      <c r="P248" s="296"/>
      <c r="Q248" s="296"/>
      <c r="R248" s="296"/>
    </row>
    <row r="249" spans="2:18" ht="9.65" customHeight="1" x14ac:dyDescent="0.55000000000000004">
      <c r="B249" s="25"/>
      <c r="C249" s="25"/>
      <c r="D249" s="25"/>
      <c r="E249" s="25"/>
      <c r="F249" s="25"/>
      <c r="G249" s="25"/>
      <c r="H249" s="25"/>
      <c r="I249" s="25"/>
      <c r="J249" s="25"/>
      <c r="K249" s="25"/>
      <c r="L249" s="25"/>
      <c r="M249" s="25"/>
      <c r="N249" s="25"/>
      <c r="O249" s="25"/>
      <c r="P249" s="25"/>
      <c r="Q249" s="25"/>
      <c r="R249" s="25"/>
    </row>
    <row r="250" spans="2:18" ht="21.65" customHeight="1" x14ac:dyDescent="0.45">
      <c r="B250" s="230" t="s">
        <v>302</v>
      </c>
      <c r="C250" s="129"/>
      <c r="D250" s="129"/>
      <c r="E250" s="129"/>
      <c r="F250" s="129"/>
      <c r="G250" s="129"/>
      <c r="H250" s="129"/>
      <c r="I250" s="129"/>
      <c r="J250" s="129"/>
      <c r="K250" s="129"/>
      <c r="L250" s="129"/>
      <c r="M250" s="129"/>
      <c r="N250" s="129"/>
      <c r="O250" s="129"/>
      <c r="P250" s="129"/>
      <c r="Q250" s="129"/>
      <c r="R250" s="129"/>
    </row>
    <row r="251" spans="2:18" ht="21.65" customHeight="1" x14ac:dyDescent="0.45">
      <c r="B251" s="215" t="s">
        <v>628</v>
      </c>
      <c r="C251" s="129"/>
      <c r="D251" s="129"/>
      <c r="E251" s="129"/>
      <c r="F251" s="129"/>
      <c r="G251" s="129"/>
      <c r="H251" s="129"/>
      <c r="I251" s="129"/>
      <c r="J251" s="140"/>
      <c r="K251" s="300"/>
      <c r="L251" s="313"/>
      <c r="M251" s="313"/>
      <c r="N251" s="313"/>
      <c r="O251" s="313"/>
      <c r="P251" s="313"/>
      <c r="Q251" s="313"/>
      <c r="R251" s="313"/>
    </row>
    <row r="252" spans="2:18" ht="21.65" customHeight="1" x14ac:dyDescent="0.45">
      <c r="B252" s="215" t="s">
        <v>629</v>
      </c>
      <c r="C252" s="129"/>
      <c r="D252" s="129"/>
      <c r="E252" s="129"/>
      <c r="F252" s="129"/>
      <c r="G252" s="129"/>
      <c r="H252" s="129"/>
      <c r="I252" s="129"/>
      <c r="J252" s="140"/>
      <c r="K252" s="296"/>
      <c r="L252" s="129"/>
      <c r="M252" s="129"/>
      <c r="N252" s="129"/>
      <c r="O252" s="129"/>
      <c r="P252" s="129"/>
      <c r="Q252" s="129"/>
      <c r="R252" s="129"/>
    </row>
    <row r="253" spans="2:18" ht="21.65" customHeight="1" x14ac:dyDescent="0.45">
      <c r="B253" s="215" t="s">
        <v>630</v>
      </c>
      <c r="C253" s="129"/>
      <c r="D253" s="129"/>
      <c r="E253" s="129"/>
      <c r="F253" s="129"/>
      <c r="G253" s="129"/>
      <c r="H253" s="129"/>
      <c r="I253" s="129"/>
      <c r="J253" s="140"/>
      <c r="K253" s="347"/>
      <c r="L253" s="129"/>
      <c r="M253" s="129"/>
      <c r="N253" s="129"/>
      <c r="O253" s="129"/>
      <c r="P253" s="129"/>
      <c r="Q253" s="129"/>
      <c r="R253" s="129"/>
    </row>
    <row r="254" spans="2:18" ht="21.65" customHeight="1" x14ac:dyDescent="0.45">
      <c r="B254" s="215" t="s">
        <v>631</v>
      </c>
      <c r="C254" s="129"/>
      <c r="D254" s="129"/>
      <c r="E254" s="129"/>
      <c r="F254" s="129"/>
      <c r="G254" s="129"/>
      <c r="H254" s="129"/>
      <c r="I254" s="129"/>
      <c r="J254" s="140"/>
      <c r="K254" s="296"/>
      <c r="L254" s="129"/>
      <c r="M254" s="129"/>
      <c r="N254" s="129"/>
      <c r="O254" s="129"/>
      <c r="P254" s="129"/>
      <c r="Q254" s="129"/>
      <c r="R254" s="129"/>
    </row>
    <row r="255" spans="2:18" ht="21.65" customHeight="1" x14ac:dyDescent="0.45">
      <c r="B255" s="215" t="s">
        <v>632</v>
      </c>
      <c r="C255" s="129"/>
      <c r="D255" s="129"/>
      <c r="E255" s="129"/>
      <c r="F255" s="129"/>
      <c r="G255" s="129"/>
      <c r="H255" s="129"/>
      <c r="I255" s="129"/>
      <c r="J255" s="140"/>
      <c r="K255" s="221"/>
      <c r="L255" s="129"/>
      <c r="M255" s="129"/>
      <c r="N255" s="129"/>
      <c r="O255" s="129"/>
      <c r="P255" s="129"/>
      <c r="Q255" s="129"/>
      <c r="R255" s="129"/>
    </row>
    <row r="256" spans="2:18" ht="21.65" customHeight="1" x14ac:dyDescent="0.45">
      <c r="B256" s="215" t="s">
        <v>633</v>
      </c>
      <c r="C256" s="135"/>
      <c r="D256" s="135"/>
      <c r="E256" s="135"/>
      <c r="F256" s="135"/>
      <c r="G256" s="135"/>
      <c r="H256" s="135"/>
      <c r="I256" s="135"/>
      <c r="J256" s="187"/>
      <c r="K256" s="329" t="s">
        <v>634</v>
      </c>
      <c r="L256" s="190"/>
      <c r="M256" s="329" t="s">
        <v>635</v>
      </c>
      <c r="N256" s="122"/>
      <c r="O256" s="122"/>
      <c r="P256" s="221" t="s">
        <v>636</v>
      </c>
      <c r="Q256" s="129"/>
      <c r="R256" s="129"/>
    </row>
    <row r="257" spans="1:18" ht="21.65" customHeight="1" x14ac:dyDescent="0.45">
      <c r="B257" s="122"/>
      <c r="C257" s="122"/>
      <c r="D257" s="122"/>
      <c r="E257" s="122"/>
      <c r="F257" s="122"/>
      <c r="G257" s="122"/>
      <c r="H257" s="122"/>
      <c r="I257" s="122"/>
      <c r="J257" s="190"/>
      <c r="K257" s="220"/>
      <c r="L257" s="140"/>
      <c r="M257" s="220"/>
      <c r="N257" s="129"/>
      <c r="O257" s="140"/>
      <c r="P257" s="348"/>
      <c r="Q257" s="122"/>
      <c r="R257" s="122"/>
    </row>
    <row r="258" spans="1:18" ht="21.65" customHeight="1" x14ac:dyDescent="0.45">
      <c r="B258" s="215" t="s">
        <v>637</v>
      </c>
      <c r="C258" s="129"/>
      <c r="D258" s="129"/>
      <c r="E258" s="129"/>
      <c r="F258" s="129"/>
      <c r="G258" s="129"/>
      <c r="H258" s="129"/>
      <c r="I258" s="129"/>
      <c r="J258" s="140"/>
      <c r="K258" s="128"/>
      <c r="L258" s="129"/>
      <c r="M258" s="129"/>
      <c r="N258" s="129"/>
      <c r="O258" s="129"/>
      <c r="P258" s="129"/>
      <c r="Q258" s="129"/>
      <c r="R258" s="129"/>
    </row>
    <row r="259" spans="1:18" x14ac:dyDescent="0.45">
      <c r="A259" s="19" t="str">
        <f>_xlfn.CONCAT(MAX($A$1:A258),"-7")</f>
        <v>1-7</v>
      </c>
      <c r="B259" s="215" t="s">
        <v>638</v>
      </c>
      <c r="C259" s="129"/>
      <c r="D259" s="129"/>
      <c r="E259" s="129"/>
      <c r="F259" s="129"/>
      <c r="G259" s="129"/>
      <c r="H259" s="129"/>
      <c r="I259" s="129"/>
      <c r="J259" s="140"/>
      <c r="K259" s="128"/>
      <c r="L259" s="129"/>
      <c r="M259" s="129"/>
      <c r="N259" s="129"/>
      <c r="O259" s="129"/>
      <c r="P259" s="129"/>
      <c r="Q259" s="129"/>
      <c r="R259" s="129"/>
    </row>
  </sheetData>
  <mergeCells count="525">
    <mergeCell ref="B258:J258"/>
    <mergeCell ref="K258:R258"/>
    <mergeCell ref="B259:J259"/>
    <mergeCell ref="K259:R259"/>
    <mergeCell ref="B256:J257"/>
    <mergeCell ref="K256:L256"/>
    <mergeCell ref="M256:O256"/>
    <mergeCell ref="P256:R256"/>
    <mergeCell ref="K257:L257"/>
    <mergeCell ref="M257:O257"/>
    <mergeCell ref="P257:R257"/>
    <mergeCell ref="B253:J253"/>
    <mergeCell ref="K253:R253"/>
    <mergeCell ref="B254:J254"/>
    <mergeCell ref="K254:R254"/>
    <mergeCell ref="B255:J255"/>
    <mergeCell ref="K255:R255"/>
    <mergeCell ref="B248:L248"/>
    <mergeCell ref="M248:R248"/>
    <mergeCell ref="B250:R250"/>
    <mergeCell ref="B251:J251"/>
    <mergeCell ref="K251:R251"/>
    <mergeCell ref="B252:J252"/>
    <mergeCell ref="K252:R252"/>
    <mergeCell ref="B245:L245"/>
    <mergeCell ref="M245:R245"/>
    <mergeCell ref="B246:L246"/>
    <mergeCell ref="M246:R246"/>
    <mergeCell ref="B247:L247"/>
    <mergeCell ref="M247:R247"/>
    <mergeCell ref="Q241:R242"/>
    <mergeCell ref="E242:F242"/>
    <mergeCell ref="G242:I242"/>
    <mergeCell ref="L242:M242"/>
    <mergeCell ref="O242:P242"/>
    <mergeCell ref="B244:R244"/>
    <mergeCell ref="B241:B242"/>
    <mergeCell ref="C241:D242"/>
    <mergeCell ref="E241:F241"/>
    <mergeCell ref="G241:I241"/>
    <mergeCell ref="L241:M241"/>
    <mergeCell ref="O241:P241"/>
    <mergeCell ref="B239:R239"/>
    <mergeCell ref="C240:D240"/>
    <mergeCell ref="E240:F240"/>
    <mergeCell ref="G240:I240"/>
    <mergeCell ref="L240:M240"/>
    <mergeCell ref="O240:P240"/>
    <mergeCell ref="Q240:R240"/>
    <mergeCell ref="B236:C236"/>
    <mergeCell ref="D236:G236"/>
    <mergeCell ref="H236:J236"/>
    <mergeCell ref="K236:M236"/>
    <mergeCell ref="N236:R236"/>
    <mergeCell ref="B238:R238"/>
    <mergeCell ref="B234:R234"/>
    <mergeCell ref="B235:C235"/>
    <mergeCell ref="D235:G235"/>
    <mergeCell ref="H235:J235"/>
    <mergeCell ref="K235:M235"/>
    <mergeCell ref="N235:R235"/>
    <mergeCell ref="B231:C231"/>
    <mergeCell ref="D231:G231"/>
    <mergeCell ref="H231:J231"/>
    <mergeCell ref="K231:M231"/>
    <mergeCell ref="N231:R231"/>
    <mergeCell ref="B232:C232"/>
    <mergeCell ref="D232:G232"/>
    <mergeCell ref="H232:J232"/>
    <mergeCell ref="K232:M232"/>
    <mergeCell ref="N232:R232"/>
    <mergeCell ref="B228:C228"/>
    <mergeCell ref="D228:G228"/>
    <mergeCell ref="H228:J228"/>
    <mergeCell ref="K228:M228"/>
    <mergeCell ref="N228:R228"/>
    <mergeCell ref="B230:R230"/>
    <mergeCell ref="B224:R224"/>
    <mergeCell ref="B225:R225"/>
    <mergeCell ref="B226:G226"/>
    <mergeCell ref="H226:M226"/>
    <mergeCell ref="N226:R226"/>
    <mergeCell ref="B227:C227"/>
    <mergeCell ref="D227:G227"/>
    <mergeCell ref="H227:J227"/>
    <mergeCell ref="K227:M227"/>
    <mergeCell ref="N227:R227"/>
    <mergeCell ref="C221:E221"/>
    <mergeCell ref="F221:H221"/>
    <mergeCell ref="I221:K221"/>
    <mergeCell ref="L221:O221"/>
    <mergeCell ref="P221:R221"/>
    <mergeCell ref="C222:E222"/>
    <mergeCell ref="F222:H222"/>
    <mergeCell ref="I222:K222"/>
    <mergeCell ref="L222:O222"/>
    <mergeCell ref="P222:R222"/>
    <mergeCell ref="B216:M216"/>
    <mergeCell ref="N216:R216"/>
    <mergeCell ref="B217:M217"/>
    <mergeCell ref="N217:R217"/>
    <mergeCell ref="B219:R219"/>
    <mergeCell ref="B220:R220"/>
    <mergeCell ref="B212:R212"/>
    <mergeCell ref="B213:R213"/>
    <mergeCell ref="B214:M214"/>
    <mergeCell ref="N214:R214"/>
    <mergeCell ref="B215:M215"/>
    <mergeCell ref="N215:R215"/>
    <mergeCell ref="B208:R208"/>
    <mergeCell ref="B209:F209"/>
    <mergeCell ref="G209:L209"/>
    <mergeCell ref="M209:R209"/>
    <mergeCell ref="B210:F210"/>
    <mergeCell ref="G210:L210"/>
    <mergeCell ref="M210:R210"/>
    <mergeCell ref="C206:E206"/>
    <mergeCell ref="F206:H206"/>
    <mergeCell ref="I206:J206"/>
    <mergeCell ref="K206:L206"/>
    <mergeCell ref="M206:O206"/>
    <mergeCell ref="P206:R206"/>
    <mergeCell ref="C205:E205"/>
    <mergeCell ref="F205:H205"/>
    <mergeCell ref="I205:J205"/>
    <mergeCell ref="K205:L205"/>
    <mergeCell ref="M205:O205"/>
    <mergeCell ref="P205:R205"/>
    <mergeCell ref="C204:E204"/>
    <mergeCell ref="F204:H204"/>
    <mergeCell ref="I204:J204"/>
    <mergeCell ref="K204:L204"/>
    <mergeCell ref="M204:O204"/>
    <mergeCell ref="P204:R204"/>
    <mergeCell ref="C203:E203"/>
    <mergeCell ref="F203:H203"/>
    <mergeCell ref="I203:J203"/>
    <mergeCell ref="K203:L203"/>
    <mergeCell ref="M203:O203"/>
    <mergeCell ref="P203:R203"/>
    <mergeCell ref="C202:E202"/>
    <mergeCell ref="F202:H202"/>
    <mergeCell ref="I202:J202"/>
    <mergeCell ref="K202:L202"/>
    <mergeCell ref="M202:O202"/>
    <mergeCell ref="P202:R202"/>
    <mergeCell ref="B199:R199"/>
    <mergeCell ref="B200:B201"/>
    <mergeCell ref="C200:E201"/>
    <mergeCell ref="F200:O200"/>
    <mergeCell ref="P200:R201"/>
    <mergeCell ref="F201:H201"/>
    <mergeCell ref="I201:J201"/>
    <mergeCell ref="K201:L201"/>
    <mergeCell ref="M201:O201"/>
    <mergeCell ref="B193:N193"/>
    <mergeCell ref="O193:R193"/>
    <mergeCell ref="B194:N194"/>
    <mergeCell ref="O194:R194"/>
    <mergeCell ref="B196:R196"/>
    <mergeCell ref="B197:N197"/>
    <mergeCell ref="O197:R197"/>
    <mergeCell ref="B189:R189"/>
    <mergeCell ref="B190:N190"/>
    <mergeCell ref="O190:R190"/>
    <mergeCell ref="B191:N191"/>
    <mergeCell ref="O191:R191"/>
    <mergeCell ref="B192:N192"/>
    <mergeCell ref="O192:R192"/>
    <mergeCell ref="B186:L186"/>
    <mergeCell ref="M186:O186"/>
    <mergeCell ref="P186:R186"/>
    <mergeCell ref="B187:L187"/>
    <mergeCell ref="M187:O187"/>
    <mergeCell ref="P187:R187"/>
    <mergeCell ref="B183:L183"/>
    <mergeCell ref="M183:O183"/>
    <mergeCell ref="P183:R183"/>
    <mergeCell ref="B184:L184"/>
    <mergeCell ref="M184:O184"/>
    <mergeCell ref="P184:R184"/>
    <mergeCell ref="B181:L181"/>
    <mergeCell ref="M181:O181"/>
    <mergeCell ref="P181:R181"/>
    <mergeCell ref="B182:L182"/>
    <mergeCell ref="M182:O182"/>
    <mergeCell ref="P182:R182"/>
    <mergeCell ref="B179:L179"/>
    <mergeCell ref="M179:O179"/>
    <mergeCell ref="P179:R179"/>
    <mergeCell ref="B180:L180"/>
    <mergeCell ref="M180:O180"/>
    <mergeCell ref="P180:R180"/>
    <mergeCell ref="B175:L175"/>
    <mergeCell ref="M175:R175"/>
    <mergeCell ref="B176:L176"/>
    <mergeCell ref="M176:R176"/>
    <mergeCell ref="B177:L177"/>
    <mergeCell ref="M177:R177"/>
    <mergeCell ref="B170:R170"/>
    <mergeCell ref="B171:R171"/>
    <mergeCell ref="B172:R172"/>
    <mergeCell ref="B173:L173"/>
    <mergeCell ref="M173:R173"/>
    <mergeCell ref="B174:L174"/>
    <mergeCell ref="M174:R174"/>
    <mergeCell ref="B167:C167"/>
    <mergeCell ref="D167:G167"/>
    <mergeCell ref="H167:J167"/>
    <mergeCell ref="K167:M167"/>
    <mergeCell ref="N167:R167"/>
    <mergeCell ref="B168:C168"/>
    <mergeCell ref="D168:G168"/>
    <mergeCell ref="H168:J168"/>
    <mergeCell ref="K168:M168"/>
    <mergeCell ref="N168:R168"/>
    <mergeCell ref="B165:C165"/>
    <mergeCell ref="D165:G165"/>
    <mergeCell ref="H165:J165"/>
    <mergeCell ref="K165:M165"/>
    <mergeCell ref="N165:R165"/>
    <mergeCell ref="B166:C166"/>
    <mergeCell ref="D166:G166"/>
    <mergeCell ref="H166:J166"/>
    <mergeCell ref="K166:M166"/>
    <mergeCell ref="N166:R166"/>
    <mergeCell ref="B163:C163"/>
    <mergeCell ref="D163:G163"/>
    <mergeCell ref="H163:J163"/>
    <mergeCell ref="K163:M163"/>
    <mergeCell ref="N163:R163"/>
    <mergeCell ref="B164:C164"/>
    <mergeCell ref="D164:G164"/>
    <mergeCell ref="H164:J164"/>
    <mergeCell ref="K164:M164"/>
    <mergeCell ref="N164:R164"/>
    <mergeCell ref="B161:R161"/>
    <mergeCell ref="B162:C162"/>
    <mergeCell ref="D162:G162"/>
    <mergeCell ref="H162:J162"/>
    <mergeCell ref="K162:M162"/>
    <mergeCell ref="N162:R162"/>
    <mergeCell ref="B158:E158"/>
    <mergeCell ref="F158:J158"/>
    <mergeCell ref="K158:N158"/>
    <mergeCell ref="O158:R158"/>
    <mergeCell ref="B159:E159"/>
    <mergeCell ref="F159:J159"/>
    <mergeCell ref="K159:N159"/>
    <mergeCell ref="O159:R159"/>
    <mergeCell ref="B153:R153"/>
    <mergeCell ref="B154:J154"/>
    <mergeCell ref="K154:R154"/>
    <mergeCell ref="B155:J155"/>
    <mergeCell ref="K155:R155"/>
    <mergeCell ref="B157:R157"/>
    <mergeCell ref="B148:I148"/>
    <mergeCell ref="J148:M148"/>
    <mergeCell ref="N148:R148"/>
    <mergeCell ref="B150:R150"/>
    <mergeCell ref="B151:R151"/>
    <mergeCell ref="B152:R152"/>
    <mergeCell ref="B146:I146"/>
    <mergeCell ref="J146:M146"/>
    <mergeCell ref="N146:R146"/>
    <mergeCell ref="B147:I147"/>
    <mergeCell ref="J147:M147"/>
    <mergeCell ref="N147:R147"/>
    <mergeCell ref="B142:N142"/>
    <mergeCell ref="O142:R142"/>
    <mergeCell ref="B143:N143"/>
    <mergeCell ref="O143:R143"/>
    <mergeCell ref="B144:R144"/>
    <mergeCell ref="B145:I145"/>
    <mergeCell ref="J145:M145"/>
    <mergeCell ref="N145:R145"/>
    <mergeCell ref="B137:E137"/>
    <mergeCell ref="F137:L137"/>
    <mergeCell ref="M137:R137"/>
    <mergeCell ref="B139:R139"/>
    <mergeCell ref="B140:R140"/>
    <mergeCell ref="B141:N141"/>
    <mergeCell ref="O141:R141"/>
    <mergeCell ref="B135:E135"/>
    <mergeCell ref="F135:L135"/>
    <mergeCell ref="M135:R135"/>
    <mergeCell ref="B136:E136"/>
    <mergeCell ref="F136:L136"/>
    <mergeCell ref="M136:R136"/>
    <mergeCell ref="B133:E133"/>
    <mergeCell ref="F133:L133"/>
    <mergeCell ref="M133:R133"/>
    <mergeCell ref="B134:E134"/>
    <mergeCell ref="F134:L134"/>
    <mergeCell ref="M134:R134"/>
    <mergeCell ref="B129:N129"/>
    <mergeCell ref="O129:R129"/>
    <mergeCell ref="B131:R131"/>
    <mergeCell ref="B132:E132"/>
    <mergeCell ref="F132:L132"/>
    <mergeCell ref="M132:R132"/>
    <mergeCell ref="B126:N126"/>
    <mergeCell ref="O126:R126"/>
    <mergeCell ref="B127:N127"/>
    <mergeCell ref="O127:R127"/>
    <mergeCell ref="B128:N128"/>
    <mergeCell ref="O128:R128"/>
    <mergeCell ref="B123:N123"/>
    <mergeCell ref="O123:R123"/>
    <mergeCell ref="B124:N124"/>
    <mergeCell ref="O124:R124"/>
    <mergeCell ref="B125:N125"/>
    <mergeCell ref="O125:R125"/>
    <mergeCell ref="B120:N120"/>
    <mergeCell ref="O120:R120"/>
    <mergeCell ref="B121:N121"/>
    <mergeCell ref="O121:R121"/>
    <mergeCell ref="B122:N122"/>
    <mergeCell ref="O122:R122"/>
    <mergeCell ref="B117:N117"/>
    <mergeCell ref="O117:R117"/>
    <mergeCell ref="B118:N118"/>
    <mergeCell ref="O118:R118"/>
    <mergeCell ref="B119:N119"/>
    <mergeCell ref="O119:R119"/>
    <mergeCell ref="B114:N114"/>
    <mergeCell ref="O114:R114"/>
    <mergeCell ref="B115:N115"/>
    <mergeCell ref="O115:R115"/>
    <mergeCell ref="B116:N116"/>
    <mergeCell ref="O116:R116"/>
    <mergeCell ref="B109:N109"/>
    <mergeCell ref="O109:R109"/>
    <mergeCell ref="B111:R111"/>
    <mergeCell ref="B112:N112"/>
    <mergeCell ref="O112:R112"/>
    <mergeCell ref="B113:N113"/>
    <mergeCell ref="O113:R113"/>
    <mergeCell ref="B105:N105"/>
    <mergeCell ref="O105:R105"/>
    <mergeCell ref="B106:D108"/>
    <mergeCell ref="E106:N106"/>
    <mergeCell ref="O106:R106"/>
    <mergeCell ref="E107:N107"/>
    <mergeCell ref="O107:R107"/>
    <mergeCell ref="E108:N108"/>
    <mergeCell ref="O108:R108"/>
    <mergeCell ref="B99:R99"/>
    <mergeCell ref="B100:R100"/>
    <mergeCell ref="B101:D104"/>
    <mergeCell ref="E101:N101"/>
    <mergeCell ref="O101:R101"/>
    <mergeCell ref="E102:N102"/>
    <mergeCell ref="O102:R102"/>
    <mergeCell ref="E103:N103"/>
    <mergeCell ref="O103:R103"/>
    <mergeCell ref="E104:N104"/>
    <mergeCell ref="O104:R104"/>
    <mergeCell ref="B95:D95"/>
    <mergeCell ref="E95:I95"/>
    <mergeCell ref="J95:R95"/>
    <mergeCell ref="B96:I96"/>
    <mergeCell ref="J96:R96"/>
    <mergeCell ref="B98:R98"/>
    <mergeCell ref="B92:R92"/>
    <mergeCell ref="B93:D93"/>
    <mergeCell ref="E93:I93"/>
    <mergeCell ref="J93:R93"/>
    <mergeCell ref="B94:D94"/>
    <mergeCell ref="E94:I94"/>
    <mergeCell ref="J94:R94"/>
    <mergeCell ref="B88:N88"/>
    <mergeCell ref="O88:R88"/>
    <mergeCell ref="B89:N89"/>
    <mergeCell ref="O89:R89"/>
    <mergeCell ref="B90:N90"/>
    <mergeCell ref="O90:R90"/>
    <mergeCell ref="B83:N83"/>
    <mergeCell ref="O83:R83"/>
    <mergeCell ref="B84:N84"/>
    <mergeCell ref="O84:R84"/>
    <mergeCell ref="B86:R86"/>
    <mergeCell ref="B87:N87"/>
    <mergeCell ref="O87:R87"/>
    <mergeCell ref="B80:N80"/>
    <mergeCell ref="O80:R80"/>
    <mergeCell ref="B81:N81"/>
    <mergeCell ref="O81:R81"/>
    <mergeCell ref="B82:N82"/>
    <mergeCell ref="O82:R82"/>
    <mergeCell ref="B77:N77"/>
    <mergeCell ref="O77:R77"/>
    <mergeCell ref="B78:N78"/>
    <mergeCell ref="O78:R78"/>
    <mergeCell ref="B79:N79"/>
    <mergeCell ref="O79:R79"/>
    <mergeCell ref="B74:N74"/>
    <mergeCell ref="O74:R74"/>
    <mergeCell ref="B75:N75"/>
    <mergeCell ref="O75:R75"/>
    <mergeCell ref="B76:N76"/>
    <mergeCell ref="O76:R76"/>
    <mergeCell ref="B71:N71"/>
    <mergeCell ref="O71:R71"/>
    <mergeCell ref="B72:N72"/>
    <mergeCell ref="O72:R72"/>
    <mergeCell ref="B73:N73"/>
    <mergeCell ref="O73:R73"/>
    <mergeCell ref="B68:N68"/>
    <mergeCell ref="O68:R68"/>
    <mergeCell ref="B69:N69"/>
    <mergeCell ref="O69:R69"/>
    <mergeCell ref="B70:N70"/>
    <mergeCell ref="O70:R70"/>
    <mergeCell ref="B65:N65"/>
    <mergeCell ref="O65:R65"/>
    <mergeCell ref="B66:N66"/>
    <mergeCell ref="O66:R66"/>
    <mergeCell ref="B67:N67"/>
    <mergeCell ref="O67:R67"/>
    <mergeCell ref="B62:N62"/>
    <mergeCell ref="O62:R62"/>
    <mergeCell ref="B63:N63"/>
    <mergeCell ref="O63:R63"/>
    <mergeCell ref="B64:N64"/>
    <mergeCell ref="O64:R64"/>
    <mergeCell ref="B57:N57"/>
    <mergeCell ref="O57:R57"/>
    <mergeCell ref="B58:N58"/>
    <mergeCell ref="O58:R58"/>
    <mergeCell ref="B60:R60"/>
    <mergeCell ref="B61:R61"/>
    <mergeCell ref="B54:N54"/>
    <mergeCell ref="O54:R54"/>
    <mergeCell ref="B55:N55"/>
    <mergeCell ref="O55:R55"/>
    <mergeCell ref="B56:N56"/>
    <mergeCell ref="O56:R56"/>
    <mergeCell ref="B51:N51"/>
    <mergeCell ref="O51:R51"/>
    <mergeCell ref="B52:N52"/>
    <mergeCell ref="O52:R52"/>
    <mergeCell ref="B53:N53"/>
    <mergeCell ref="O53:R53"/>
    <mergeCell ref="B48:N48"/>
    <mergeCell ref="O48:R48"/>
    <mergeCell ref="B49:N49"/>
    <mergeCell ref="O49:R49"/>
    <mergeCell ref="B50:N50"/>
    <mergeCell ref="O50:R50"/>
    <mergeCell ref="B45:N45"/>
    <mergeCell ref="O45:R45"/>
    <mergeCell ref="B46:N46"/>
    <mergeCell ref="O46:R46"/>
    <mergeCell ref="B47:N47"/>
    <mergeCell ref="O47:R47"/>
    <mergeCell ref="B42:N42"/>
    <mergeCell ref="O42:R42"/>
    <mergeCell ref="B43:N43"/>
    <mergeCell ref="O43:R43"/>
    <mergeCell ref="B44:N44"/>
    <mergeCell ref="O44:R44"/>
    <mergeCell ref="B39:N39"/>
    <mergeCell ref="O39:R39"/>
    <mergeCell ref="B40:N40"/>
    <mergeCell ref="O40:R40"/>
    <mergeCell ref="B41:N41"/>
    <mergeCell ref="O41:R41"/>
    <mergeCell ref="B36:N36"/>
    <mergeCell ref="O36:R36"/>
    <mergeCell ref="B37:N37"/>
    <mergeCell ref="O37:R37"/>
    <mergeCell ref="B38:N38"/>
    <mergeCell ref="O38:R38"/>
    <mergeCell ref="B33:N33"/>
    <mergeCell ref="O33:R33"/>
    <mergeCell ref="B34:N34"/>
    <mergeCell ref="O34:R34"/>
    <mergeCell ref="B35:N35"/>
    <mergeCell ref="O35:R35"/>
    <mergeCell ref="B30:N30"/>
    <mergeCell ref="O30:R30"/>
    <mergeCell ref="B31:N31"/>
    <mergeCell ref="O31:R31"/>
    <mergeCell ref="B32:N32"/>
    <mergeCell ref="O32:R32"/>
    <mergeCell ref="B27:D27"/>
    <mergeCell ref="E27:H27"/>
    <mergeCell ref="I27:K27"/>
    <mergeCell ref="L27:N27"/>
    <mergeCell ref="O27:R27"/>
    <mergeCell ref="B29:R29"/>
    <mergeCell ref="B2:N2"/>
    <mergeCell ref="B13:N13"/>
    <mergeCell ref="B14:N14"/>
    <mergeCell ref="B24:R24"/>
    <mergeCell ref="B25:R25"/>
    <mergeCell ref="B26:D26"/>
    <mergeCell ref="E26:H26"/>
    <mergeCell ref="I26:K26"/>
    <mergeCell ref="L26:N26"/>
    <mergeCell ref="O26:R26"/>
    <mergeCell ref="B21:N21"/>
    <mergeCell ref="B22:N22"/>
    <mergeCell ref="O9:R22"/>
    <mergeCell ref="B16:N16"/>
    <mergeCell ref="B17:N17"/>
    <mergeCell ref="B18:N18"/>
    <mergeCell ref="B19:N19"/>
    <mergeCell ref="B20:N20"/>
    <mergeCell ref="O8:R8"/>
    <mergeCell ref="B3:R3"/>
    <mergeCell ref="B4:R4"/>
    <mergeCell ref="B5:N5"/>
    <mergeCell ref="O5:R5"/>
    <mergeCell ref="B6:N6"/>
    <mergeCell ref="O6:R6"/>
    <mergeCell ref="B15:N15"/>
    <mergeCell ref="B7:N7"/>
    <mergeCell ref="O7:R7"/>
    <mergeCell ref="B8:N8"/>
    <mergeCell ref="B9:N9"/>
    <mergeCell ref="B10:N10"/>
    <mergeCell ref="B11:N11"/>
    <mergeCell ref="B12:N12"/>
  </mergeCells>
  <phoneticPr fontId="2" type="noConversion"/>
  <dataValidations count="2">
    <dataValidation type="list" allowBlank="1" showInputMessage="1" showErrorMessage="1" sqref="M174:R177 K258:R259" xr:uid="{A64D1F23-9392-4385-B4BD-A3775CA499CB}">
      <formula1>"여,부"</formula1>
    </dataValidation>
    <dataValidation type="list" allowBlank="1" showInputMessage="1" showErrorMessage="1" sqref="O197:R197" xr:uid="{FE4CE233-9D0B-4C75-B387-2B2C0E8CCBDE}">
      <formula1>"□,■"</formula1>
    </dataValidation>
  </dataValidations>
  <pageMargins left="0.59055118110236227" right="0.59055118110236227" top="0.59055118110236227" bottom="0.59055118110236227" header="0.31496062992125978" footer="0.31496062992125978"/>
  <pageSetup paperSize="9" scale="74" fitToHeight="0" orientation="landscape"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622205F-9210-4F9D-A61D-19FE563F5A80}">
          <x14:formula1>
            <xm:f>코드정보!$G$158:$G$166</xm:f>
          </x14:formula1>
          <xm:sqref>O6:R6</xm:sqref>
        </x14:dataValidation>
        <x14:dataValidation type="list" allowBlank="1" showInputMessage="1" showErrorMessage="1" xr:uid="{5C9C1478-92EE-45A1-B0CB-13AB8AB28DA9}">
          <x14:formula1>
            <xm:f>코드정보!$G$167:$G$172</xm:f>
          </x14:formula1>
          <xm:sqref>B241:B242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CC491-9CA7-4ED3-B354-043C051F2310}">
  <sheetPr codeName="Sheet13">
    <pageSetUpPr fitToPage="1"/>
  </sheetPr>
  <dimension ref="A1:U185"/>
  <sheetViews>
    <sheetView showGridLines="0" view="pageBreakPreview" zoomScale="85" zoomScaleNormal="85" zoomScaleSheetLayoutView="85" workbookViewId="0">
      <selection activeCell="M15" sqref="M15:R15"/>
    </sheetView>
  </sheetViews>
  <sheetFormatPr defaultColWidth="8.640625" defaultRowHeight="17.600000000000001" x14ac:dyDescent="0.55000000000000004"/>
  <cols>
    <col min="1" max="1" width="2" style="19" customWidth="1"/>
    <col min="2" max="2" width="15.35546875" style="1" customWidth="1"/>
    <col min="3" max="3" width="10.640625" style="1" customWidth="1"/>
    <col min="4" max="4" width="7.5703125" style="1" customWidth="1"/>
    <col min="5" max="5" width="5.92578125" style="1" customWidth="1"/>
    <col min="6" max="6" width="9.5" style="1" customWidth="1"/>
    <col min="7" max="7" width="5.92578125" style="1" customWidth="1"/>
    <col min="8" max="8" width="7.5703125" style="1" customWidth="1"/>
    <col min="9" max="9" width="6.7109375" style="1" customWidth="1"/>
    <col min="10" max="10" width="13.85546875" style="1" customWidth="1"/>
    <col min="11" max="11" width="11" style="1" customWidth="1"/>
    <col min="12" max="12" width="8.5703125" style="1" customWidth="1"/>
    <col min="13" max="13" width="9.42578125" style="1" customWidth="1"/>
    <col min="14" max="14" width="13" style="1" customWidth="1"/>
    <col min="15" max="15" width="5.92578125" style="1" customWidth="1"/>
    <col min="16" max="16" width="8.140625" style="1" customWidth="1"/>
    <col min="17" max="17" width="5.0703125" style="1" customWidth="1"/>
    <col min="18" max="18" width="10.640625" style="1" customWidth="1"/>
    <col min="19" max="20" width="8.640625" style="1" customWidth="1"/>
    <col min="21" max="16384" width="8.640625" style="1"/>
  </cols>
  <sheetData>
    <row r="1" spans="1:18" ht="18" thickBot="1" x14ac:dyDescent="0.6">
      <c r="B1" s="85"/>
      <c r="C1" s="85"/>
      <c r="D1" s="85"/>
      <c r="E1" s="85"/>
      <c r="F1" s="85"/>
      <c r="G1" s="85"/>
      <c r="H1" s="85"/>
      <c r="I1" s="85"/>
      <c r="J1" s="85"/>
      <c r="K1" s="85"/>
      <c r="L1" s="85"/>
      <c r="M1" s="85"/>
      <c r="N1" s="85"/>
      <c r="O1" s="85"/>
      <c r="P1" s="85"/>
      <c r="Q1" s="85"/>
      <c r="R1" s="85"/>
    </row>
    <row r="2" spans="1:18" ht="21" customHeight="1" x14ac:dyDescent="0.55000000000000004">
      <c r="A2" s="19">
        <f>MAX($A$1:A1)+1</f>
        <v>1</v>
      </c>
      <c r="B2" s="349" t="s">
        <v>264</v>
      </c>
      <c r="C2" s="167"/>
      <c r="D2" s="167"/>
      <c r="E2" s="167"/>
      <c r="F2" s="167"/>
      <c r="G2" s="167"/>
      <c r="H2" s="167"/>
      <c r="I2" s="167"/>
      <c r="J2" s="167"/>
      <c r="K2" s="167"/>
      <c r="L2" s="167"/>
      <c r="M2" s="167"/>
      <c r="N2" s="167"/>
      <c r="O2" s="167"/>
      <c r="P2" s="167"/>
      <c r="Q2" s="167"/>
      <c r="R2" s="167"/>
    </row>
    <row r="3" spans="1:18" ht="21" customHeight="1" x14ac:dyDescent="0.45">
      <c r="B3" s="230" t="s">
        <v>266</v>
      </c>
      <c r="C3" s="129"/>
      <c r="D3" s="129"/>
      <c r="E3" s="129"/>
      <c r="F3" s="129"/>
      <c r="G3" s="129"/>
      <c r="H3" s="129"/>
      <c r="I3" s="129"/>
      <c r="J3" s="129"/>
      <c r="K3" s="129"/>
      <c r="L3" s="129"/>
      <c r="M3" s="129"/>
      <c r="N3" s="129"/>
      <c r="O3" s="129"/>
      <c r="P3" s="129"/>
      <c r="Q3" s="129"/>
      <c r="R3" s="129"/>
    </row>
    <row r="4" spans="1:18" ht="21" customHeight="1" x14ac:dyDescent="0.45">
      <c r="B4" s="295" t="s">
        <v>639</v>
      </c>
      <c r="C4" s="129"/>
      <c r="D4" s="129"/>
      <c r="E4" s="129"/>
      <c r="F4" s="129"/>
      <c r="G4" s="129"/>
      <c r="H4" s="129"/>
      <c r="I4" s="129"/>
      <c r="J4" s="129"/>
      <c r="K4" s="129"/>
      <c r="L4" s="129"/>
      <c r="M4" s="129"/>
      <c r="N4" s="140"/>
      <c r="O4" s="300"/>
      <c r="P4" s="129"/>
      <c r="Q4" s="129"/>
      <c r="R4" s="129"/>
    </row>
    <row r="5" spans="1:18" x14ac:dyDescent="0.55000000000000004">
      <c r="B5" s="25"/>
      <c r="C5" s="25"/>
      <c r="D5" s="25"/>
      <c r="E5" s="25"/>
      <c r="F5" s="25"/>
      <c r="G5" s="25"/>
      <c r="H5" s="25"/>
      <c r="I5" s="25"/>
      <c r="J5" s="25"/>
      <c r="K5" s="25"/>
      <c r="L5" s="25"/>
      <c r="M5" s="25"/>
      <c r="N5" s="25"/>
      <c r="O5" s="25"/>
      <c r="P5" s="25"/>
      <c r="Q5" s="25"/>
      <c r="R5" s="25"/>
    </row>
    <row r="6" spans="1:18" ht="20.5" customHeight="1" x14ac:dyDescent="0.45">
      <c r="B6" s="230" t="s">
        <v>267</v>
      </c>
      <c r="C6" s="129"/>
      <c r="D6" s="129"/>
      <c r="E6" s="129"/>
      <c r="F6" s="129"/>
      <c r="G6" s="129"/>
      <c r="H6" s="129"/>
      <c r="I6" s="129"/>
      <c r="J6" s="129"/>
      <c r="K6" s="129"/>
      <c r="L6" s="129"/>
      <c r="M6" s="129"/>
      <c r="N6" s="129"/>
      <c r="O6" s="129"/>
      <c r="P6" s="129"/>
      <c r="Q6" s="129"/>
      <c r="R6" s="129"/>
    </row>
    <row r="7" spans="1:18" ht="20.5" customHeight="1" x14ac:dyDescent="0.45">
      <c r="A7" s="19" t="str">
        <f>_xlfn.CONCAT(MAX($A$1:A6),"-1")</f>
        <v>1-1</v>
      </c>
      <c r="B7" s="262" t="s">
        <v>640</v>
      </c>
      <c r="C7" s="122"/>
      <c r="D7" s="122"/>
      <c r="E7" s="122"/>
      <c r="F7" s="122"/>
      <c r="G7" s="122"/>
      <c r="H7" s="122"/>
      <c r="I7" s="122"/>
      <c r="J7" s="190"/>
      <c r="K7" s="121" t="s">
        <v>641</v>
      </c>
      <c r="L7" s="122"/>
      <c r="M7" s="122"/>
      <c r="N7" s="122"/>
      <c r="O7" s="122"/>
      <c r="P7" s="122"/>
      <c r="Q7" s="122"/>
      <c r="R7" s="122"/>
    </row>
    <row r="8" spans="1:18" ht="20.5" customHeight="1" x14ac:dyDescent="0.45">
      <c r="B8" s="350"/>
      <c r="C8" s="143"/>
      <c r="D8" s="143"/>
      <c r="E8" s="143"/>
      <c r="F8" s="143"/>
      <c r="G8" s="143"/>
      <c r="H8" s="143"/>
      <c r="I8" s="143"/>
      <c r="J8" s="144"/>
      <c r="K8" s="258"/>
      <c r="L8" s="143"/>
      <c r="M8" s="143"/>
      <c r="N8" s="143"/>
      <c r="O8" s="143"/>
      <c r="P8" s="143"/>
      <c r="Q8" s="143"/>
      <c r="R8" s="143"/>
    </row>
    <row r="9" spans="1:18" ht="20.5" customHeight="1" x14ac:dyDescent="0.45">
      <c r="B9" s="350"/>
      <c r="C9" s="143"/>
      <c r="D9" s="143"/>
      <c r="E9" s="143"/>
      <c r="F9" s="143"/>
      <c r="G9" s="143"/>
      <c r="H9" s="143"/>
      <c r="I9" s="143"/>
      <c r="J9" s="144"/>
      <c r="K9" s="258"/>
      <c r="L9" s="143"/>
      <c r="M9" s="143"/>
      <c r="N9" s="143"/>
      <c r="O9" s="143"/>
      <c r="P9" s="143"/>
      <c r="Q9" s="143"/>
      <c r="R9" s="143"/>
    </row>
    <row r="10" spans="1:18" ht="20.5" customHeight="1" x14ac:dyDescent="0.45">
      <c r="B10" s="350"/>
      <c r="C10" s="143"/>
      <c r="D10" s="143"/>
      <c r="E10" s="143"/>
      <c r="F10" s="143"/>
      <c r="G10" s="143"/>
      <c r="H10" s="143"/>
      <c r="I10" s="143"/>
      <c r="J10" s="144"/>
      <c r="K10" s="258"/>
      <c r="L10" s="143"/>
      <c r="M10" s="143"/>
      <c r="N10" s="143"/>
      <c r="O10" s="143"/>
      <c r="P10" s="143"/>
      <c r="Q10" s="143"/>
      <c r="R10" s="143"/>
    </row>
    <row r="11" spans="1:18" ht="20.5" customHeight="1" x14ac:dyDescent="0.45">
      <c r="B11" s="350"/>
      <c r="C11" s="143"/>
      <c r="D11" s="143"/>
      <c r="E11" s="143"/>
      <c r="F11" s="143"/>
      <c r="G11" s="143"/>
      <c r="H11" s="143"/>
      <c r="I11" s="143"/>
      <c r="J11" s="144"/>
      <c r="K11" s="258"/>
      <c r="L11" s="143"/>
      <c r="M11" s="143"/>
      <c r="N11" s="143"/>
      <c r="O11" s="143"/>
      <c r="P11" s="143"/>
      <c r="Q11" s="143"/>
      <c r="R11" s="143"/>
    </row>
    <row r="12" spans="1:18" ht="19.95" customHeight="1" x14ac:dyDescent="0.55000000000000004">
      <c r="A12" s="19" t="str">
        <f>_xlfn.CONCAT(MAX($A$1:A11),"-2")</f>
        <v>1-2</v>
      </c>
      <c r="B12" s="37"/>
      <c r="C12" s="37"/>
      <c r="D12" s="37"/>
      <c r="E12" s="37"/>
      <c r="F12" s="37"/>
      <c r="G12" s="37"/>
      <c r="H12" s="37"/>
      <c r="I12" s="37"/>
      <c r="J12" s="38"/>
      <c r="K12" s="38"/>
      <c r="L12" s="38"/>
      <c r="M12" s="38"/>
      <c r="N12" s="38"/>
      <c r="O12" s="38"/>
      <c r="P12" s="38"/>
      <c r="Q12" s="38"/>
      <c r="R12" s="38"/>
    </row>
    <row r="13" spans="1:18" ht="19.2" customHeight="1" x14ac:dyDescent="0.45">
      <c r="B13" s="230" t="s">
        <v>268</v>
      </c>
      <c r="C13" s="129"/>
      <c r="D13" s="129"/>
      <c r="E13" s="129"/>
      <c r="F13" s="129"/>
      <c r="G13" s="129"/>
      <c r="H13" s="129"/>
      <c r="I13" s="129"/>
      <c r="J13" s="129"/>
      <c r="K13" s="129"/>
      <c r="L13" s="129"/>
      <c r="M13" s="129"/>
      <c r="N13" s="129"/>
      <c r="O13" s="129"/>
      <c r="P13" s="129"/>
      <c r="Q13" s="129"/>
      <c r="R13" s="129"/>
    </row>
    <row r="14" spans="1:18" ht="19.2" customHeight="1" thickBot="1" x14ac:dyDescent="0.5">
      <c r="B14" s="351" t="s">
        <v>269</v>
      </c>
      <c r="C14" s="283"/>
      <c r="D14" s="283"/>
      <c r="E14" s="283"/>
      <c r="F14" s="283"/>
      <c r="G14" s="283"/>
      <c r="H14" s="283"/>
      <c r="I14" s="283"/>
      <c r="J14" s="283"/>
      <c r="K14" s="283"/>
      <c r="L14" s="283"/>
      <c r="M14" s="283"/>
      <c r="N14" s="283"/>
      <c r="O14" s="283"/>
      <c r="P14" s="283"/>
      <c r="Q14" s="283"/>
      <c r="R14" s="283"/>
    </row>
    <row r="15" spans="1:18" ht="21" customHeight="1" thickBot="1" x14ac:dyDescent="0.6">
      <c r="B15" s="352" t="s">
        <v>270</v>
      </c>
      <c r="C15" s="353"/>
      <c r="D15" s="353"/>
      <c r="E15" s="353"/>
      <c r="F15" s="353"/>
      <c r="G15" s="353"/>
      <c r="H15" s="353"/>
      <c r="I15" s="353"/>
      <c r="J15" s="353"/>
      <c r="K15" s="353"/>
      <c r="L15" s="353"/>
      <c r="M15" s="354"/>
      <c r="N15" s="353"/>
      <c r="O15" s="353"/>
      <c r="P15" s="353"/>
      <c r="Q15" s="353"/>
      <c r="R15" s="353"/>
    </row>
    <row r="16" spans="1:18" ht="19.2" customHeight="1" x14ac:dyDescent="0.45">
      <c r="B16" s="355" t="s">
        <v>271</v>
      </c>
      <c r="C16" s="122"/>
      <c r="D16" s="122"/>
      <c r="E16" s="122"/>
      <c r="F16" s="122"/>
      <c r="G16" s="122"/>
      <c r="H16" s="122"/>
      <c r="I16" s="122"/>
      <c r="J16" s="122"/>
      <c r="K16" s="122"/>
      <c r="L16" s="190"/>
      <c r="M16" s="356"/>
      <c r="N16" s="122"/>
      <c r="O16" s="122"/>
      <c r="P16" s="122"/>
      <c r="Q16" s="122"/>
      <c r="R16" s="122"/>
    </row>
    <row r="17" spans="2:18" ht="19.2" customHeight="1" x14ac:dyDescent="0.45">
      <c r="B17" s="325" t="s">
        <v>272</v>
      </c>
      <c r="C17" s="129"/>
      <c r="D17" s="129"/>
      <c r="E17" s="129"/>
      <c r="F17" s="129"/>
      <c r="G17" s="129"/>
      <c r="H17" s="129"/>
      <c r="I17" s="129"/>
      <c r="J17" s="129"/>
      <c r="K17" s="129"/>
      <c r="L17" s="140"/>
      <c r="M17" s="357" t="s">
        <v>642</v>
      </c>
      <c r="N17" s="122"/>
      <c r="O17" s="122"/>
      <c r="P17" s="327" t="s">
        <v>643</v>
      </c>
      <c r="Q17" s="129"/>
      <c r="R17" s="129"/>
    </row>
    <row r="18" spans="2:18" ht="19.2" customHeight="1" x14ac:dyDescent="0.45">
      <c r="B18" s="215" t="s">
        <v>445</v>
      </c>
      <c r="C18" s="129"/>
      <c r="D18" s="129"/>
      <c r="E18" s="129"/>
      <c r="F18" s="129"/>
      <c r="G18" s="129"/>
      <c r="H18" s="129"/>
      <c r="I18" s="129"/>
      <c r="J18" s="129"/>
      <c r="K18" s="129"/>
      <c r="L18" s="140"/>
      <c r="M18" s="248"/>
      <c r="N18" s="129"/>
      <c r="O18" s="129"/>
      <c r="P18" s="245"/>
      <c r="Q18" s="129"/>
      <c r="R18" s="129"/>
    </row>
    <row r="19" spans="2:18" ht="19.2" customHeight="1" x14ac:dyDescent="0.45">
      <c r="B19" s="215" t="s">
        <v>446</v>
      </c>
      <c r="C19" s="129"/>
      <c r="D19" s="129"/>
      <c r="E19" s="129"/>
      <c r="F19" s="129"/>
      <c r="G19" s="129"/>
      <c r="H19" s="129"/>
      <c r="I19" s="129"/>
      <c r="J19" s="129"/>
      <c r="K19" s="129"/>
      <c r="L19" s="140"/>
      <c r="M19" s="248"/>
      <c r="N19" s="129"/>
      <c r="O19" s="129"/>
      <c r="P19" s="245"/>
      <c r="Q19" s="129"/>
      <c r="R19" s="129"/>
    </row>
    <row r="20" spans="2:18" ht="19.2" customHeight="1" x14ac:dyDescent="0.45">
      <c r="B20" s="215" t="s">
        <v>447</v>
      </c>
      <c r="C20" s="129"/>
      <c r="D20" s="129"/>
      <c r="E20" s="129"/>
      <c r="F20" s="129"/>
      <c r="G20" s="129"/>
      <c r="H20" s="129"/>
      <c r="I20" s="129"/>
      <c r="J20" s="129"/>
      <c r="K20" s="129"/>
      <c r="L20" s="140"/>
      <c r="M20" s="248"/>
      <c r="N20" s="129"/>
      <c r="O20" s="129"/>
      <c r="P20" s="245"/>
      <c r="Q20" s="129"/>
      <c r="R20" s="129"/>
    </row>
    <row r="21" spans="2:18" ht="19.2" customHeight="1" x14ac:dyDescent="0.45">
      <c r="B21" s="215" t="s">
        <v>448</v>
      </c>
      <c r="C21" s="129"/>
      <c r="D21" s="129"/>
      <c r="E21" s="129"/>
      <c r="F21" s="129"/>
      <c r="G21" s="129"/>
      <c r="H21" s="129"/>
      <c r="I21" s="129"/>
      <c r="J21" s="129"/>
      <c r="K21" s="129"/>
      <c r="L21" s="140"/>
      <c r="M21" s="248"/>
      <c r="N21" s="129"/>
      <c r="O21" s="129"/>
      <c r="P21" s="245"/>
      <c r="Q21" s="129"/>
      <c r="R21" s="129"/>
    </row>
    <row r="22" spans="2:18" ht="19.2" customHeight="1" x14ac:dyDescent="0.45">
      <c r="B22" s="215" t="s">
        <v>644</v>
      </c>
      <c r="C22" s="129"/>
      <c r="D22" s="129"/>
      <c r="E22" s="129"/>
      <c r="F22" s="129"/>
      <c r="G22" s="129"/>
      <c r="H22" s="129"/>
      <c r="I22" s="129"/>
      <c r="J22" s="129"/>
      <c r="K22" s="129"/>
      <c r="L22" s="140"/>
      <c r="M22" s="248"/>
      <c r="N22" s="129"/>
      <c r="O22" s="129"/>
      <c r="P22" s="245"/>
      <c r="Q22" s="129"/>
      <c r="R22" s="129"/>
    </row>
    <row r="23" spans="2:18" ht="19.2" customHeight="1" x14ac:dyDescent="0.45">
      <c r="B23" s="215" t="s">
        <v>450</v>
      </c>
      <c r="C23" s="129"/>
      <c r="D23" s="129"/>
      <c r="E23" s="129"/>
      <c r="F23" s="129"/>
      <c r="G23" s="129"/>
      <c r="H23" s="129"/>
      <c r="I23" s="129"/>
      <c r="J23" s="129"/>
      <c r="K23" s="129"/>
      <c r="L23" s="140"/>
      <c r="M23" s="248"/>
      <c r="N23" s="129"/>
      <c r="O23" s="129"/>
      <c r="P23" s="245"/>
      <c r="Q23" s="129"/>
      <c r="R23" s="129"/>
    </row>
    <row r="24" spans="2:18" ht="19.2" customHeight="1" x14ac:dyDescent="0.45">
      <c r="B24" s="215" t="s">
        <v>451</v>
      </c>
      <c r="C24" s="129"/>
      <c r="D24" s="129"/>
      <c r="E24" s="129"/>
      <c r="F24" s="129"/>
      <c r="G24" s="129"/>
      <c r="H24" s="129"/>
      <c r="I24" s="129"/>
      <c r="J24" s="129"/>
      <c r="K24" s="129"/>
      <c r="L24" s="140"/>
      <c r="M24" s="248"/>
      <c r="N24" s="129"/>
      <c r="O24" s="129"/>
      <c r="P24" s="245"/>
      <c r="Q24" s="129"/>
      <c r="R24" s="129"/>
    </row>
    <row r="25" spans="2:18" ht="19.2" customHeight="1" x14ac:dyDescent="0.45">
      <c r="B25" s="215" t="s">
        <v>452</v>
      </c>
      <c r="C25" s="129"/>
      <c r="D25" s="129"/>
      <c r="E25" s="129"/>
      <c r="F25" s="129"/>
      <c r="G25" s="129"/>
      <c r="H25" s="129"/>
      <c r="I25" s="129"/>
      <c r="J25" s="129"/>
      <c r="K25" s="129"/>
      <c r="L25" s="140"/>
      <c r="M25" s="248"/>
      <c r="N25" s="129"/>
      <c r="O25" s="129"/>
      <c r="P25" s="245"/>
      <c r="Q25" s="129"/>
      <c r="R25" s="129"/>
    </row>
    <row r="26" spans="2:18" ht="19.2" customHeight="1" x14ac:dyDescent="0.45">
      <c r="B26" s="215" t="s">
        <v>453</v>
      </c>
      <c r="C26" s="129"/>
      <c r="D26" s="129"/>
      <c r="E26" s="129"/>
      <c r="F26" s="129"/>
      <c r="G26" s="129"/>
      <c r="H26" s="129"/>
      <c r="I26" s="129"/>
      <c r="J26" s="129"/>
      <c r="K26" s="129"/>
      <c r="L26" s="140"/>
      <c r="M26" s="248"/>
      <c r="N26" s="129"/>
      <c r="O26" s="129"/>
      <c r="P26" s="245"/>
      <c r="Q26" s="129"/>
      <c r="R26" s="129"/>
    </row>
    <row r="27" spans="2:18" ht="19.2" customHeight="1" x14ac:dyDescent="0.45">
      <c r="B27" s="215" t="s">
        <v>454</v>
      </c>
      <c r="C27" s="129"/>
      <c r="D27" s="129"/>
      <c r="E27" s="129"/>
      <c r="F27" s="129"/>
      <c r="G27" s="129"/>
      <c r="H27" s="129"/>
      <c r="I27" s="129"/>
      <c r="J27" s="129"/>
      <c r="K27" s="129"/>
      <c r="L27" s="140"/>
      <c r="M27" s="248"/>
      <c r="N27" s="129"/>
      <c r="O27" s="129"/>
      <c r="P27" s="245"/>
      <c r="Q27" s="129"/>
      <c r="R27" s="129"/>
    </row>
    <row r="28" spans="2:18" ht="19.2" customHeight="1" x14ac:dyDescent="0.45">
      <c r="B28" s="215" t="s">
        <v>455</v>
      </c>
      <c r="C28" s="129"/>
      <c r="D28" s="129"/>
      <c r="E28" s="129"/>
      <c r="F28" s="129"/>
      <c r="G28" s="129"/>
      <c r="H28" s="129"/>
      <c r="I28" s="129"/>
      <c r="J28" s="129"/>
      <c r="K28" s="129"/>
      <c r="L28" s="140"/>
      <c r="M28" s="248"/>
      <c r="N28" s="129"/>
      <c r="O28" s="129"/>
      <c r="P28" s="245"/>
      <c r="Q28" s="129"/>
      <c r="R28" s="129"/>
    </row>
    <row r="29" spans="2:18" ht="19.2" customHeight="1" x14ac:dyDescent="0.45">
      <c r="B29" s="215" t="s">
        <v>456</v>
      </c>
      <c r="C29" s="129"/>
      <c r="D29" s="129"/>
      <c r="E29" s="129"/>
      <c r="F29" s="129"/>
      <c r="G29" s="129"/>
      <c r="H29" s="129"/>
      <c r="I29" s="129"/>
      <c r="J29" s="129"/>
      <c r="K29" s="129"/>
      <c r="L29" s="140"/>
      <c r="M29" s="248"/>
      <c r="N29" s="129"/>
      <c r="O29" s="129"/>
      <c r="P29" s="245"/>
      <c r="Q29" s="129"/>
      <c r="R29" s="129"/>
    </row>
    <row r="30" spans="2:18" ht="19.2" customHeight="1" x14ac:dyDescent="0.45">
      <c r="B30" s="215" t="s">
        <v>457</v>
      </c>
      <c r="C30" s="129"/>
      <c r="D30" s="129"/>
      <c r="E30" s="129"/>
      <c r="F30" s="129"/>
      <c r="G30" s="129"/>
      <c r="H30" s="129"/>
      <c r="I30" s="129"/>
      <c r="J30" s="129"/>
      <c r="K30" s="129"/>
      <c r="L30" s="140"/>
      <c r="M30" s="248"/>
      <c r="N30" s="129"/>
      <c r="O30" s="129"/>
      <c r="P30" s="245"/>
      <c r="Q30" s="129"/>
      <c r="R30" s="129"/>
    </row>
    <row r="31" spans="2:18" ht="19.2" customHeight="1" x14ac:dyDescent="0.45">
      <c r="B31" s="215" t="s">
        <v>458</v>
      </c>
      <c r="C31" s="129"/>
      <c r="D31" s="129"/>
      <c r="E31" s="129"/>
      <c r="F31" s="129"/>
      <c r="G31" s="129"/>
      <c r="H31" s="129"/>
      <c r="I31" s="129"/>
      <c r="J31" s="129"/>
      <c r="K31" s="129"/>
      <c r="L31" s="140"/>
      <c r="M31" s="248"/>
      <c r="N31" s="129"/>
      <c r="O31" s="129"/>
      <c r="P31" s="245"/>
      <c r="Q31" s="129"/>
      <c r="R31" s="129"/>
    </row>
    <row r="32" spans="2:18" ht="19.2" customHeight="1" x14ac:dyDescent="0.45">
      <c r="B32" s="215" t="s">
        <v>459</v>
      </c>
      <c r="C32" s="129"/>
      <c r="D32" s="129"/>
      <c r="E32" s="129"/>
      <c r="F32" s="129"/>
      <c r="G32" s="129"/>
      <c r="H32" s="129"/>
      <c r="I32" s="129"/>
      <c r="J32" s="129"/>
      <c r="K32" s="129"/>
      <c r="L32" s="140"/>
      <c r="M32" s="248"/>
      <c r="N32" s="129"/>
      <c r="O32" s="129"/>
      <c r="P32" s="245"/>
      <c r="Q32" s="129"/>
      <c r="R32" s="129"/>
    </row>
    <row r="33" spans="1:18" ht="19.2" customHeight="1" x14ac:dyDescent="0.45">
      <c r="B33" s="215" t="s">
        <v>460</v>
      </c>
      <c r="C33" s="129"/>
      <c r="D33" s="129"/>
      <c r="E33" s="129"/>
      <c r="F33" s="129"/>
      <c r="G33" s="129"/>
      <c r="H33" s="129"/>
      <c r="I33" s="129"/>
      <c r="J33" s="129"/>
      <c r="K33" s="129"/>
      <c r="L33" s="140"/>
      <c r="M33" s="248"/>
      <c r="N33" s="129"/>
      <c r="O33" s="129"/>
      <c r="P33" s="245"/>
      <c r="Q33" s="129"/>
      <c r="R33" s="129"/>
    </row>
    <row r="34" spans="1:18" ht="19.2" customHeight="1" x14ac:dyDescent="0.45">
      <c r="B34" s="215" t="s">
        <v>645</v>
      </c>
      <c r="C34" s="129"/>
      <c r="D34" s="129"/>
      <c r="E34" s="129"/>
      <c r="F34" s="129"/>
      <c r="G34" s="129"/>
      <c r="H34" s="129"/>
      <c r="I34" s="129"/>
      <c r="J34" s="129"/>
      <c r="K34" s="129"/>
      <c r="L34" s="140"/>
      <c r="M34" s="248"/>
      <c r="N34" s="129"/>
      <c r="O34" s="129"/>
      <c r="P34" s="245"/>
      <c r="Q34" s="129"/>
      <c r="R34" s="129"/>
    </row>
    <row r="35" spans="1:18" ht="19.2" customHeight="1" x14ac:dyDescent="0.45">
      <c r="B35" s="215" t="s">
        <v>462</v>
      </c>
      <c r="C35" s="129"/>
      <c r="D35" s="129"/>
      <c r="E35" s="129"/>
      <c r="F35" s="129"/>
      <c r="G35" s="129"/>
      <c r="H35" s="129"/>
      <c r="I35" s="129"/>
      <c r="J35" s="129"/>
      <c r="K35" s="129"/>
      <c r="L35" s="140"/>
      <c r="M35" s="248"/>
      <c r="N35" s="129"/>
      <c r="O35" s="129"/>
      <c r="P35" s="245"/>
      <c r="Q35" s="129"/>
      <c r="R35" s="129"/>
    </row>
    <row r="36" spans="1:18" ht="19.2" customHeight="1" x14ac:dyDescent="0.45">
      <c r="B36" s="215" t="s">
        <v>463</v>
      </c>
      <c r="C36" s="129"/>
      <c r="D36" s="129"/>
      <c r="E36" s="129"/>
      <c r="F36" s="129"/>
      <c r="G36" s="129"/>
      <c r="H36" s="129"/>
      <c r="I36" s="129"/>
      <c r="J36" s="129"/>
      <c r="K36" s="129"/>
      <c r="L36" s="140"/>
      <c r="M36" s="248"/>
      <c r="N36" s="129"/>
      <c r="O36" s="129"/>
      <c r="P36" s="245"/>
      <c r="Q36" s="129"/>
      <c r="R36" s="129"/>
    </row>
    <row r="37" spans="1:18" ht="19.2" customHeight="1" x14ac:dyDescent="0.45">
      <c r="B37" s="215" t="s">
        <v>464</v>
      </c>
      <c r="C37" s="129"/>
      <c r="D37" s="129"/>
      <c r="E37" s="129"/>
      <c r="F37" s="129"/>
      <c r="G37" s="129"/>
      <c r="H37" s="129"/>
      <c r="I37" s="129"/>
      <c r="J37" s="129"/>
      <c r="K37" s="129"/>
      <c r="L37" s="140"/>
      <c r="M37" s="248"/>
      <c r="N37" s="129"/>
      <c r="O37" s="129"/>
      <c r="P37" s="245"/>
      <c r="Q37" s="129"/>
      <c r="R37" s="129"/>
    </row>
    <row r="38" spans="1:18" ht="19.2" customHeight="1" x14ac:dyDescent="0.45">
      <c r="B38" s="215" t="s">
        <v>465</v>
      </c>
      <c r="C38" s="129"/>
      <c r="D38" s="129"/>
      <c r="E38" s="129"/>
      <c r="F38" s="129"/>
      <c r="G38" s="129"/>
      <c r="H38" s="129"/>
      <c r="I38" s="129"/>
      <c r="J38" s="129"/>
      <c r="K38" s="129"/>
      <c r="L38" s="140"/>
      <c r="M38" s="248"/>
      <c r="N38" s="129"/>
      <c r="O38" s="129"/>
      <c r="P38" s="245"/>
      <c r="Q38" s="129"/>
      <c r="R38" s="129"/>
    </row>
    <row r="39" spans="1:18" ht="19.2" customHeight="1" x14ac:dyDescent="0.45">
      <c r="B39" s="215" t="s">
        <v>646</v>
      </c>
      <c r="C39" s="129"/>
      <c r="D39" s="129"/>
      <c r="E39" s="129"/>
      <c r="F39" s="129"/>
      <c r="G39" s="129"/>
      <c r="H39" s="129"/>
      <c r="I39" s="129"/>
      <c r="J39" s="129"/>
      <c r="K39" s="129"/>
      <c r="L39" s="140"/>
      <c r="M39" s="248"/>
      <c r="N39" s="129"/>
      <c r="O39" s="129"/>
      <c r="P39" s="245"/>
      <c r="Q39" s="129"/>
      <c r="R39" s="129"/>
    </row>
    <row r="40" spans="1:18" ht="19.2" customHeight="1" x14ac:dyDescent="0.45">
      <c r="B40" s="215" t="s">
        <v>647</v>
      </c>
      <c r="C40" s="129"/>
      <c r="D40" s="129"/>
      <c r="E40" s="129"/>
      <c r="F40" s="129"/>
      <c r="G40" s="129"/>
      <c r="H40" s="129"/>
      <c r="I40" s="129"/>
      <c r="J40" s="129"/>
      <c r="K40" s="129"/>
      <c r="L40" s="140"/>
      <c r="M40" s="248"/>
      <c r="N40" s="129"/>
      <c r="O40" s="129"/>
      <c r="P40" s="245"/>
      <c r="Q40" s="129"/>
      <c r="R40" s="129"/>
    </row>
    <row r="41" spans="1:18" ht="19.2" customHeight="1" x14ac:dyDescent="0.45">
      <c r="B41" s="215" t="s">
        <v>648</v>
      </c>
      <c r="C41" s="129"/>
      <c r="D41" s="129"/>
      <c r="E41" s="129"/>
      <c r="F41" s="129"/>
      <c r="G41" s="129"/>
      <c r="H41" s="129"/>
      <c r="I41" s="129"/>
      <c r="J41" s="129"/>
      <c r="K41" s="129"/>
      <c r="L41" s="140"/>
      <c r="M41" s="248"/>
      <c r="N41" s="129"/>
      <c r="O41" s="129"/>
      <c r="P41" s="245"/>
      <c r="Q41" s="129"/>
      <c r="R41" s="129"/>
    </row>
    <row r="42" spans="1:18" ht="19.2" customHeight="1" x14ac:dyDescent="0.45">
      <c r="B42" s="215" t="s">
        <v>649</v>
      </c>
      <c r="C42" s="129"/>
      <c r="D42" s="129"/>
      <c r="E42" s="129"/>
      <c r="F42" s="129"/>
      <c r="G42" s="129"/>
      <c r="H42" s="129"/>
      <c r="I42" s="129"/>
      <c r="J42" s="129"/>
      <c r="K42" s="129"/>
      <c r="L42" s="140"/>
      <c r="M42" s="248"/>
      <c r="N42" s="129"/>
      <c r="O42" s="129"/>
      <c r="P42" s="245"/>
      <c r="Q42" s="129"/>
      <c r="R42" s="129"/>
    </row>
    <row r="43" spans="1:18" ht="19.2" customHeight="1" x14ac:dyDescent="0.45">
      <c r="B43" s="215" t="s">
        <v>650</v>
      </c>
      <c r="C43" s="129"/>
      <c r="D43" s="129"/>
      <c r="E43" s="129"/>
      <c r="F43" s="129"/>
      <c r="G43" s="129"/>
      <c r="H43" s="129"/>
      <c r="I43" s="129"/>
      <c r="J43" s="129"/>
      <c r="K43" s="129"/>
      <c r="L43" s="140"/>
      <c r="M43" s="358"/>
      <c r="N43" s="135"/>
      <c r="O43" s="135"/>
      <c r="P43" s="359"/>
      <c r="Q43" s="135"/>
      <c r="R43" s="135"/>
    </row>
    <row r="44" spans="1:18" ht="19.2" customHeight="1" x14ac:dyDescent="0.45">
      <c r="B44" s="325" t="s">
        <v>273</v>
      </c>
      <c r="C44" s="129"/>
      <c r="D44" s="129"/>
      <c r="E44" s="129"/>
      <c r="F44" s="129"/>
      <c r="G44" s="129"/>
      <c r="H44" s="129"/>
      <c r="I44" s="129"/>
      <c r="J44" s="129"/>
      <c r="K44" s="129"/>
      <c r="L44" s="129"/>
      <c r="M44" s="245">
        <f>M16+SUM(M18:O43)-SUM(P18:R43)</f>
        <v>0</v>
      </c>
      <c r="N44" s="129"/>
      <c r="O44" s="129"/>
      <c r="P44" s="129"/>
      <c r="Q44" s="129"/>
      <c r="R44" s="129"/>
    </row>
    <row r="45" spans="1:18" x14ac:dyDescent="0.55000000000000004">
      <c r="B45" s="25"/>
      <c r="C45" s="25"/>
      <c r="D45" s="25"/>
      <c r="E45" s="25"/>
      <c r="F45" s="25"/>
      <c r="G45" s="25"/>
      <c r="H45" s="25"/>
      <c r="I45" s="25"/>
      <c r="J45" s="25"/>
      <c r="K45" s="25"/>
      <c r="L45" s="25"/>
      <c r="M45" s="25"/>
      <c r="N45" s="25"/>
      <c r="O45" s="25"/>
      <c r="P45" s="25"/>
      <c r="Q45" s="25"/>
      <c r="R45" s="25"/>
    </row>
    <row r="46" spans="1:18" ht="25.2" customHeight="1" x14ac:dyDescent="0.45">
      <c r="B46" s="230" t="s">
        <v>274</v>
      </c>
      <c r="C46" s="129"/>
      <c r="D46" s="129"/>
      <c r="E46" s="129"/>
      <c r="F46" s="129"/>
      <c r="G46" s="129"/>
      <c r="H46" s="129"/>
      <c r="I46" s="129"/>
      <c r="J46" s="129"/>
      <c r="K46" s="129"/>
      <c r="L46" s="129"/>
      <c r="M46" s="129"/>
      <c r="N46" s="129"/>
      <c r="O46" s="129"/>
      <c r="P46" s="129"/>
      <c r="Q46" s="129"/>
      <c r="R46" s="129"/>
    </row>
    <row r="47" spans="1:18" ht="97.2" customHeight="1" x14ac:dyDescent="0.45">
      <c r="A47" s="19" t="str">
        <f>_xlfn.CONCAT(MAX($A$1:A46),"-3")</f>
        <v>1-3</v>
      </c>
      <c r="B47" s="34" t="s">
        <v>651</v>
      </c>
      <c r="C47" s="263" t="s">
        <v>652</v>
      </c>
      <c r="D47" s="190"/>
      <c r="E47" s="256" t="s">
        <v>653</v>
      </c>
      <c r="F47" s="190"/>
      <c r="G47" s="263" t="s">
        <v>654</v>
      </c>
      <c r="H47" s="122"/>
      <c r="I47" s="190"/>
      <c r="J47" s="263" t="s">
        <v>655</v>
      </c>
      <c r="K47" s="190"/>
      <c r="L47" s="263" t="s">
        <v>656</v>
      </c>
      <c r="M47" s="190"/>
      <c r="N47" s="121" t="s">
        <v>657</v>
      </c>
      <c r="O47" s="122"/>
      <c r="P47" s="122"/>
      <c r="Q47" s="121" t="s">
        <v>658</v>
      </c>
      <c r="R47" s="122"/>
    </row>
    <row r="48" spans="1:18" ht="21" customHeight="1" x14ac:dyDescent="0.45">
      <c r="B48" s="35"/>
      <c r="C48" s="360"/>
      <c r="D48" s="140"/>
      <c r="E48" s="145"/>
      <c r="F48" s="146"/>
      <c r="G48" s="141"/>
      <c r="H48" s="129"/>
      <c r="I48" s="140"/>
      <c r="J48" s="141"/>
      <c r="K48" s="140"/>
      <c r="L48" s="248"/>
      <c r="M48" s="140"/>
      <c r="N48" s="245"/>
      <c r="O48" s="129"/>
      <c r="P48" s="129"/>
      <c r="Q48" s="245"/>
      <c r="R48" s="129"/>
    </row>
    <row r="49" spans="1:18" ht="21" customHeight="1" x14ac:dyDescent="0.45">
      <c r="B49" s="35"/>
      <c r="C49" s="360"/>
      <c r="D49" s="140"/>
      <c r="E49" s="145"/>
      <c r="F49" s="146"/>
      <c r="G49" s="141"/>
      <c r="H49" s="129"/>
      <c r="I49" s="140"/>
      <c r="J49" s="141"/>
      <c r="K49" s="140"/>
      <c r="L49" s="248"/>
      <c r="M49" s="140"/>
      <c r="N49" s="245"/>
      <c r="O49" s="129"/>
      <c r="P49" s="129"/>
      <c r="Q49" s="245"/>
      <c r="R49" s="129"/>
    </row>
    <row r="50" spans="1:18" ht="21" customHeight="1" x14ac:dyDescent="0.45">
      <c r="B50" s="35"/>
      <c r="C50" s="360"/>
      <c r="D50" s="140"/>
      <c r="E50" s="145"/>
      <c r="F50" s="146"/>
      <c r="G50" s="141"/>
      <c r="H50" s="129"/>
      <c r="I50" s="140"/>
      <c r="J50" s="141"/>
      <c r="K50" s="140"/>
      <c r="L50" s="248"/>
      <c r="M50" s="140"/>
      <c r="N50" s="245"/>
      <c r="O50" s="129"/>
      <c r="P50" s="129"/>
      <c r="Q50" s="245"/>
      <c r="R50" s="129"/>
    </row>
    <row r="51" spans="1:18" ht="21" customHeight="1" x14ac:dyDescent="0.45">
      <c r="B51" s="35"/>
      <c r="C51" s="360"/>
      <c r="D51" s="140"/>
      <c r="E51" s="145"/>
      <c r="F51" s="146"/>
      <c r="G51" s="141"/>
      <c r="H51" s="129"/>
      <c r="I51" s="140"/>
      <c r="J51" s="141"/>
      <c r="K51" s="140"/>
      <c r="L51" s="248"/>
      <c r="M51" s="140"/>
      <c r="N51" s="245"/>
      <c r="O51" s="129"/>
      <c r="P51" s="129"/>
      <c r="Q51" s="245"/>
      <c r="R51" s="129"/>
    </row>
    <row r="52" spans="1:18" ht="21" customHeight="1" x14ac:dyDescent="0.55000000000000004">
      <c r="A52" s="19" t="str">
        <f>_xlfn.CONCAT(MAX($A$1:A51),"-4")</f>
        <v>1-4</v>
      </c>
      <c r="B52" s="25"/>
      <c r="C52" s="25"/>
      <c r="D52" s="25"/>
      <c r="E52" s="25"/>
      <c r="F52" s="25"/>
      <c r="G52" s="25"/>
      <c r="H52" s="25"/>
      <c r="I52" s="25"/>
      <c r="J52" s="25"/>
      <c r="K52" s="25"/>
      <c r="L52" s="25"/>
      <c r="M52" s="25"/>
      <c r="N52" s="25"/>
      <c r="O52" s="25"/>
      <c r="P52" s="25"/>
      <c r="Q52" s="25"/>
      <c r="R52" s="25"/>
    </row>
    <row r="53" spans="1:18" ht="25.2" customHeight="1" x14ac:dyDescent="0.45">
      <c r="B53" s="230" t="s">
        <v>275</v>
      </c>
      <c r="C53" s="129"/>
      <c r="D53" s="129"/>
      <c r="E53" s="129"/>
      <c r="F53" s="129"/>
      <c r="G53" s="129"/>
      <c r="H53" s="129"/>
      <c r="I53" s="129"/>
      <c r="J53" s="129"/>
      <c r="K53" s="129"/>
      <c r="L53" s="129"/>
      <c r="M53" s="129"/>
      <c r="N53" s="129"/>
      <c r="O53" s="129"/>
      <c r="P53" s="129"/>
      <c r="Q53" s="129"/>
      <c r="R53" s="129"/>
    </row>
    <row r="54" spans="1:18" ht="83.5" customHeight="1" x14ac:dyDescent="0.45">
      <c r="A54" s="19" t="str">
        <f>_xlfn.CONCAT(MAX($A$1:A53),"-5")</f>
        <v>1-5</v>
      </c>
      <c r="B54" s="34" t="s">
        <v>659</v>
      </c>
      <c r="C54" s="263" t="s">
        <v>660</v>
      </c>
      <c r="D54" s="122"/>
      <c r="E54" s="190"/>
      <c r="F54" s="263" t="s">
        <v>661</v>
      </c>
      <c r="G54" s="122"/>
      <c r="H54" s="190"/>
      <c r="I54" s="263" t="s">
        <v>662</v>
      </c>
      <c r="J54" s="122"/>
      <c r="K54" s="190"/>
      <c r="L54" s="121" t="s">
        <v>663</v>
      </c>
      <c r="M54" s="122"/>
      <c r="N54" s="122"/>
      <c r="O54" s="122"/>
      <c r="P54" s="121" t="s">
        <v>664</v>
      </c>
      <c r="Q54" s="122"/>
      <c r="R54" s="122"/>
    </row>
    <row r="55" spans="1:18" ht="20.5" customHeight="1" x14ac:dyDescent="0.45">
      <c r="B55" s="35"/>
      <c r="C55" s="361"/>
      <c r="D55" s="238"/>
      <c r="E55" s="146"/>
      <c r="F55" s="141"/>
      <c r="G55" s="129"/>
      <c r="H55" s="140"/>
      <c r="I55" s="141"/>
      <c r="J55" s="129"/>
      <c r="K55" s="140"/>
      <c r="L55" s="245"/>
      <c r="M55" s="129"/>
      <c r="N55" s="129"/>
      <c r="O55" s="129"/>
      <c r="P55" s="245"/>
      <c r="Q55" s="129"/>
      <c r="R55" s="129"/>
    </row>
    <row r="56" spans="1:18" ht="20.5" customHeight="1" x14ac:dyDescent="0.45">
      <c r="B56" s="35"/>
      <c r="C56" s="361"/>
      <c r="D56" s="238"/>
      <c r="E56" s="146"/>
      <c r="F56" s="141"/>
      <c r="G56" s="129"/>
      <c r="H56" s="140"/>
      <c r="I56" s="141"/>
      <c r="J56" s="129"/>
      <c r="K56" s="140"/>
      <c r="L56" s="245"/>
      <c r="M56" s="129"/>
      <c r="N56" s="129"/>
      <c r="O56" s="129"/>
      <c r="P56" s="245"/>
      <c r="Q56" s="129"/>
      <c r="R56" s="129"/>
    </row>
    <row r="57" spans="1:18" ht="20.5" customHeight="1" x14ac:dyDescent="0.45">
      <c r="B57" s="35"/>
      <c r="C57" s="361"/>
      <c r="D57" s="238"/>
      <c r="E57" s="146"/>
      <c r="F57" s="141"/>
      <c r="G57" s="129"/>
      <c r="H57" s="140"/>
      <c r="I57" s="141"/>
      <c r="J57" s="129"/>
      <c r="K57" s="140"/>
      <c r="L57" s="245"/>
      <c r="M57" s="129"/>
      <c r="N57" s="129"/>
      <c r="O57" s="129"/>
      <c r="P57" s="245"/>
      <c r="Q57" s="129"/>
      <c r="R57" s="129"/>
    </row>
    <row r="58" spans="1:18" ht="20.5" customHeight="1" x14ac:dyDescent="0.45">
      <c r="B58" s="35"/>
      <c r="C58" s="361"/>
      <c r="D58" s="238"/>
      <c r="E58" s="146"/>
      <c r="F58" s="141"/>
      <c r="G58" s="129"/>
      <c r="H58" s="140"/>
      <c r="I58" s="141"/>
      <c r="J58" s="129"/>
      <c r="K58" s="140"/>
      <c r="L58" s="245"/>
      <c r="M58" s="129"/>
      <c r="N58" s="129"/>
      <c r="O58" s="129"/>
      <c r="P58" s="245"/>
      <c r="Q58" s="129"/>
      <c r="R58" s="129"/>
    </row>
    <row r="59" spans="1:18" x14ac:dyDescent="0.55000000000000004">
      <c r="A59" s="19" t="str">
        <f>_xlfn.CONCAT(MAX($A$1:A58),"-6")</f>
        <v>1-6</v>
      </c>
      <c r="B59" s="25"/>
      <c r="C59" s="25"/>
      <c r="D59" s="25"/>
      <c r="E59" s="25"/>
      <c r="F59" s="25"/>
      <c r="G59" s="25"/>
      <c r="H59" s="25"/>
      <c r="I59" s="25"/>
      <c r="J59" s="25"/>
      <c r="K59" s="25"/>
      <c r="L59" s="25"/>
      <c r="M59" s="25"/>
      <c r="N59" s="25"/>
      <c r="O59" s="25"/>
      <c r="P59" s="25"/>
      <c r="Q59" s="25"/>
      <c r="R59" s="25"/>
    </row>
    <row r="60" spans="1:18" ht="25.2" customHeight="1" x14ac:dyDescent="0.45">
      <c r="B60" s="230" t="s">
        <v>276</v>
      </c>
      <c r="C60" s="129"/>
      <c r="D60" s="129"/>
      <c r="E60" s="129"/>
      <c r="F60" s="129"/>
      <c r="G60" s="129"/>
      <c r="H60" s="129"/>
      <c r="I60" s="129"/>
      <c r="J60" s="129"/>
      <c r="K60" s="129"/>
      <c r="L60" s="129"/>
      <c r="M60" s="129"/>
      <c r="N60" s="129"/>
      <c r="O60" s="129"/>
      <c r="P60" s="129"/>
      <c r="Q60" s="129"/>
      <c r="R60" s="129"/>
    </row>
    <row r="61" spans="1:18" ht="30" customHeight="1" x14ac:dyDescent="0.45">
      <c r="A61" s="19" t="str">
        <f>_xlfn.CONCAT(MAX($A$1:A60),"-7")</f>
        <v>1-7</v>
      </c>
      <c r="B61" s="337" t="s">
        <v>665</v>
      </c>
      <c r="C61" s="122"/>
      <c r="D61" s="190"/>
      <c r="E61" s="263" t="s">
        <v>666</v>
      </c>
      <c r="F61" s="122"/>
      <c r="G61" s="190"/>
      <c r="H61" s="263" t="s">
        <v>667</v>
      </c>
      <c r="I61" s="122"/>
      <c r="J61" s="190"/>
      <c r="K61" s="263" t="s">
        <v>668</v>
      </c>
      <c r="L61" s="122"/>
      <c r="M61" s="190"/>
      <c r="N61" s="121" t="s">
        <v>669</v>
      </c>
      <c r="O61" s="122"/>
      <c r="P61" s="122"/>
      <c r="Q61" s="122"/>
      <c r="R61" s="122"/>
    </row>
    <row r="62" spans="1:18" ht="21" customHeight="1" x14ac:dyDescent="0.45">
      <c r="B62" s="139"/>
      <c r="C62" s="129"/>
      <c r="D62" s="140"/>
      <c r="E62" s="145"/>
      <c r="F62" s="238"/>
      <c r="G62" s="146"/>
      <c r="H62" s="141"/>
      <c r="I62" s="129"/>
      <c r="J62" s="140"/>
      <c r="K62" s="261"/>
      <c r="L62" s="129"/>
      <c r="M62" s="140"/>
      <c r="N62" s="245"/>
      <c r="O62" s="129"/>
      <c r="P62" s="129"/>
      <c r="Q62" s="129"/>
      <c r="R62" s="129"/>
    </row>
    <row r="63" spans="1:18" ht="21" customHeight="1" x14ac:dyDescent="0.45">
      <c r="B63" s="139"/>
      <c r="C63" s="129"/>
      <c r="D63" s="140"/>
      <c r="E63" s="145"/>
      <c r="F63" s="238"/>
      <c r="G63" s="146"/>
      <c r="H63" s="141"/>
      <c r="I63" s="129"/>
      <c r="J63" s="140"/>
      <c r="K63" s="261"/>
      <c r="L63" s="129"/>
      <c r="M63" s="140"/>
      <c r="N63" s="245"/>
      <c r="O63" s="129"/>
      <c r="P63" s="129"/>
      <c r="Q63" s="129"/>
      <c r="R63" s="129"/>
    </row>
    <row r="64" spans="1:18" ht="21" customHeight="1" x14ac:dyDescent="0.45">
      <c r="B64" s="139"/>
      <c r="C64" s="129"/>
      <c r="D64" s="140"/>
      <c r="E64" s="145"/>
      <c r="F64" s="238"/>
      <c r="G64" s="146"/>
      <c r="H64" s="141"/>
      <c r="I64" s="129"/>
      <c r="J64" s="140"/>
      <c r="K64" s="261"/>
      <c r="L64" s="129"/>
      <c r="M64" s="140"/>
      <c r="N64" s="245"/>
      <c r="O64" s="129"/>
      <c r="P64" s="129"/>
      <c r="Q64" s="129"/>
      <c r="R64" s="129"/>
    </row>
    <row r="65" spans="1:18" x14ac:dyDescent="0.55000000000000004">
      <c r="A65" s="19" t="str">
        <f>_xlfn.CONCAT(MAX($A$1:A64),"-8")</f>
        <v>1-8</v>
      </c>
      <c r="B65" s="25"/>
      <c r="C65" s="25"/>
      <c r="D65" s="25"/>
      <c r="E65" s="25"/>
      <c r="F65" s="25"/>
      <c r="G65" s="25"/>
      <c r="H65" s="25"/>
      <c r="I65" s="25"/>
      <c r="J65" s="25"/>
      <c r="K65" s="25"/>
      <c r="L65" s="25"/>
      <c r="M65" s="25"/>
      <c r="N65" s="25"/>
      <c r="O65" s="25"/>
      <c r="P65" s="25"/>
      <c r="Q65" s="25"/>
      <c r="R65" s="25"/>
    </row>
    <row r="66" spans="1:18" ht="21" customHeight="1" x14ac:dyDescent="0.45">
      <c r="B66" s="230" t="s">
        <v>277</v>
      </c>
      <c r="C66" s="129"/>
      <c r="D66" s="129"/>
      <c r="E66" s="129"/>
      <c r="F66" s="129"/>
      <c r="G66" s="129"/>
      <c r="H66" s="129"/>
      <c r="I66" s="129"/>
      <c r="J66" s="129"/>
      <c r="K66" s="129"/>
      <c r="L66" s="129"/>
      <c r="M66" s="129"/>
      <c r="N66" s="129"/>
      <c r="O66" s="129"/>
      <c r="P66" s="129"/>
      <c r="Q66" s="129"/>
      <c r="R66" s="129"/>
    </row>
    <row r="67" spans="1:18" ht="21" customHeight="1" x14ac:dyDescent="0.45">
      <c r="B67" s="230" t="s">
        <v>278</v>
      </c>
      <c r="C67" s="129"/>
      <c r="D67" s="129"/>
      <c r="E67" s="129"/>
      <c r="F67" s="129"/>
      <c r="G67" s="129"/>
      <c r="H67" s="129"/>
      <c r="I67" s="129"/>
      <c r="J67" s="129"/>
      <c r="K67" s="129"/>
      <c r="L67" s="129"/>
      <c r="M67" s="129"/>
      <c r="N67" s="129"/>
      <c r="O67" s="129"/>
      <c r="P67" s="129"/>
      <c r="Q67" s="129"/>
      <c r="R67" s="129"/>
    </row>
    <row r="68" spans="1:18" ht="21" customHeight="1" x14ac:dyDescent="0.45">
      <c r="B68" s="363" t="s">
        <v>270</v>
      </c>
      <c r="C68" s="129"/>
      <c r="D68" s="129"/>
      <c r="E68" s="129"/>
      <c r="F68" s="129"/>
      <c r="G68" s="129"/>
      <c r="H68" s="129"/>
      <c r="I68" s="129"/>
      <c r="J68" s="129"/>
      <c r="K68" s="129"/>
      <c r="L68" s="129"/>
      <c r="M68" s="129"/>
      <c r="N68" s="129"/>
      <c r="O68" s="300"/>
      <c r="P68" s="129"/>
      <c r="Q68" s="129"/>
      <c r="R68" s="129"/>
    </row>
    <row r="69" spans="1:18" ht="21" customHeight="1" x14ac:dyDescent="0.45">
      <c r="B69" s="363" t="s">
        <v>279</v>
      </c>
      <c r="C69" s="129"/>
      <c r="D69" s="129"/>
      <c r="E69" s="129"/>
      <c r="F69" s="129"/>
      <c r="G69" s="129"/>
      <c r="H69" s="129"/>
      <c r="I69" s="129"/>
      <c r="J69" s="129"/>
      <c r="K69" s="129"/>
      <c r="L69" s="129"/>
      <c r="M69" s="129"/>
      <c r="N69" s="129"/>
      <c r="O69" s="296"/>
      <c r="P69" s="129"/>
      <c r="Q69" s="129"/>
      <c r="R69" s="129"/>
    </row>
    <row r="70" spans="1:18" ht="21" customHeight="1" x14ac:dyDescent="0.45">
      <c r="B70" s="325" t="s">
        <v>280</v>
      </c>
      <c r="C70" s="129"/>
      <c r="D70" s="129"/>
      <c r="E70" s="129"/>
      <c r="F70" s="129"/>
      <c r="G70" s="129"/>
      <c r="H70" s="129"/>
      <c r="I70" s="129"/>
      <c r="J70" s="129"/>
      <c r="K70" s="129"/>
      <c r="L70" s="129"/>
      <c r="M70" s="129"/>
      <c r="N70" s="140"/>
      <c r="O70" s="326" t="s">
        <v>642</v>
      </c>
      <c r="P70" s="140"/>
      <c r="Q70" s="294" t="s">
        <v>643</v>
      </c>
      <c r="R70" s="129"/>
    </row>
    <row r="71" spans="1:18" ht="21" customHeight="1" x14ac:dyDescent="0.45">
      <c r="B71" s="362" t="s">
        <v>670</v>
      </c>
      <c r="C71" s="129"/>
      <c r="D71" s="129"/>
      <c r="E71" s="129"/>
      <c r="F71" s="129"/>
      <c r="G71" s="129"/>
      <c r="H71" s="129"/>
      <c r="I71" s="129"/>
      <c r="J71" s="129"/>
      <c r="K71" s="129"/>
      <c r="L71" s="129"/>
      <c r="M71" s="129"/>
      <c r="N71" s="140"/>
      <c r="O71" s="248"/>
      <c r="P71" s="140"/>
      <c r="Q71" s="296"/>
      <c r="R71" s="129"/>
    </row>
    <row r="72" spans="1:18" ht="21" customHeight="1" x14ac:dyDescent="0.45">
      <c r="B72" s="362" t="s">
        <v>671</v>
      </c>
      <c r="C72" s="129"/>
      <c r="D72" s="129"/>
      <c r="E72" s="129"/>
      <c r="F72" s="129"/>
      <c r="G72" s="129"/>
      <c r="H72" s="129"/>
      <c r="I72" s="129"/>
      <c r="J72" s="129"/>
      <c r="K72" s="129"/>
      <c r="L72" s="129"/>
      <c r="M72" s="129"/>
      <c r="N72" s="140"/>
      <c r="O72" s="248"/>
      <c r="P72" s="140"/>
      <c r="Q72" s="296"/>
      <c r="R72" s="129"/>
    </row>
    <row r="73" spans="1:18" ht="21" customHeight="1" x14ac:dyDescent="0.45">
      <c r="B73" s="362" t="s">
        <v>672</v>
      </c>
      <c r="C73" s="129"/>
      <c r="D73" s="129"/>
      <c r="E73" s="129"/>
      <c r="F73" s="129"/>
      <c r="G73" s="129"/>
      <c r="H73" s="129"/>
      <c r="I73" s="129"/>
      <c r="J73" s="129"/>
      <c r="K73" s="129"/>
      <c r="L73" s="129"/>
      <c r="M73" s="129"/>
      <c r="N73" s="140"/>
      <c r="O73" s="248"/>
      <c r="P73" s="140"/>
      <c r="Q73" s="296"/>
      <c r="R73" s="129"/>
    </row>
    <row r="74" spans="1:18" ht="21" customHeight="1" x14ac:dyDescent="0.45">
      <c r="B74" s="362" t="s">
        <v>673</v>
      </c>
      <c r="C74" s="129"/>
      <c r="D74" s="129"/>
      <c r="E74" s="129"/>
      <c r="F74" s="129"/>
      <c r="G74" s="129"/>
      <c r="H74" s="129"/>
      <c r="I74" s="129"/>
      <c r="J74" s="129"/>
      <c r="K74" s="129"/>
      <c r="L74" s="129"/>
      <c r="M74" s="129"/>
      <c r="N74" s="140"/>
      <c r="O74" s="248"/>
      <c r="P74" s="140"/>
      <c r="Q74" s="296"/>
      <c r="R74" s="129"/>
    </row>
    <row r="75" spans="1:18" ht="21" customHeight="1" x14ac:dyDescent="0.45">
      <c r="B75" s="362" t="s">
        <v>674</v>
      </c>
      <c r="C75" s="129"/>
      <c r="D75" s="129"/>
      <c r="E75" s="129"/>
      <c r="F75" s="129"/>
      <c r="G75" s="129"/>
      <c r="H75" s="129"/>
      <c r="I75" s="129"/>
      <c r="J75" s="129"/>
      <c r="K75" s="129"/>
      <c r="L75" s="129"/>
      <c r="M75" s="129"/>
      <c r="N75" s="140"/>
      <c r="O75" s="248"/>
      <c r="P75" s="140"/>
      <c r="Q75" s="296"/>
      <c r="R75" s="129"/>
    </row>
    <row r="76" spans="1:18" ht="31.2" customHeight="1" x14ac:dyDescent="0.45">
      <c r="B76" s="362" t="s">
        <v>675</v>
      </c>
      <c r="C76" s="129"/>
      <c r="D76" s="129"/>
      <c r="E76" s="129"/>
      <c r="F76" s="129"/>
      <c r="G76" s="129"/>
      <c r="H76" s="129"/>
      <c r="I76" s="129"/>
      <c r="J76" s="129"/>
      <c r="K76" s="129"/>
      <c r="L76" s="129"/>
      <c r="M76" s="129"/>
      <c r="N76" s="140"/>
      <c r="O76" s="248"/>
      <c r="P76" s="140"/>
      <c r="Q76" s="296"/>
      <c r="R76" s="129"/>
    </row>
    <row r="77" spans="1:18" ht="31.2" customHeight="1" x14ac:dyDescent="0.45">
      <c r="B77" s="362" t="s">
        <v>676</v>
      </c>
      <c r="C77" s="129"/>
      <c r="D77" s="129"/>
      <c r="E77" s="129"/>
      <c r="F77" s="129"/>
      <c r="G77" s="129"/>
      <c r="H77" s="129"/>
      <c r="I77" s="129"/>
      <c r="J77" s="129"/>
      <c r="K77" s="129"/>
      <c r="L77" s="129"/>
      <c r="M77" s="129"/>
      <c r="N77" s="140"/>
      <c r="O77" s="248"/>
      <c r="P77" s="140"/>
      <c r="Q77" s="296"/>
      <c r="R77" s="129"/>
    </row>
    <row r="78" spans="1:18" ht="21" customHeight="1" x14ac:dyDescent="0.45">
      <c r="B78" s="362" t="s">
        <v>677</v>
      </c>
      <c r="C78" s="129"/>
      <c r="D78" s="129"/>
      <c r="E78" s="129"/>
      <c r="F78" s="129"/>
      <c r="G78" s="129"/>
      <c r="H78" s="129"/>
      <c r="I78" s="129"/>
      <c r="J78" s="129"/>
      <c r="K78" s="129"/>
      <c r="L78" s="129"/>
      <c r="M78" s="129"/>
      <c r="N78" s="140"/>
      <c r="O78" s="248"/>
      <c r="P78" s="140"/>
      <c r="Q78" s="296"/>
      <c r="R78" s="129"/>
    </row>
    <row r="79" spans="1:18" ht="21" customHeight="1" x14ac:dyDescent="0.45">
      <c r="B79" s="362" t="s">
        <v>678</v>
      </c>
      <c r="C79" s="129"/>
      <c r="D79" s="129"/>
      <c r="E79" s="129"/>
      <c r="F79" s="129"/>
      <c r="G79" s="129"/>
      <c r="H79" s="129"/>
      <c r="I79" s="129"/>
      <c r="J79" s="129"/>
      <c r="K79" s="129"/>
      <c r="L79" s="129"/>
      <c r="M79" s="129"/>
      <c r="N79" s="140"/>
      <c r="O79" s="248"/>
      <c r="P79" s="140"/>
      <c r="Q79" s="296"/>
      <c r="R79" s="129"/>
    </row>
    <row r="80" spans="1:18" ht="21" customHeight="1" x14ac:dyDescent="0.45">
      <c r="B80" s="362" t="s">
        <v>679</v>
      </c>
      <c r="C80" s="129"/>
      <c r="D80" s="129"/>
      <c r="E80" s="129"/>
      <c r="F80" s="129"/>
      <c r="G80" s="129"/>
      <c r="H80" s="129"/>
      <c r="I80" s="129"/>
      <c r="J80" s="129"/>
      <c r="K80" s="129"/>
      <c r="L80" s="129"/>
      <c r="M80" s="129"/>
      <c r="N80" s="140"/>
      <c r="O80" s="248"/>
      <c r="P80" s="140"/>
      <c r="Q80" s="296"/>
      <c r="R80" s="129"/>
    </row>
    <row r="81" spans="1:18" ht="21" customHeight="1" x14ac:dyDescent="0.45">
      <c r="B81" s="362" t="s">
        <v>680</v>
      </c>
      <c r="C81" s="129"/>
      <c r="D81" s="129"/>
      <c r="E81" s="129"/>
      <c r="F81" s="129"/>
      <c r="G81" s="129"/>
      <c r="H81" s="129"/>
      <c r="I81" s="129"/>
      <c r="J81" s="129"/>
      <c r="K81" s="129"/>
      <c r="L81" s="129"/>
      <c r="M81" s="129"/>
      <c r="N81" s="140"/>
      <c r="O81" s="248"/>
      <c r="P81" s="140"/>
      <c r="Q81" s="296"/>
      <c r="R81" s="129"/>
    </row>
    <row r="82" spans="1:18" ht="21" customHeight="1" x14ac:dyDescent="0.45">
      <c r="B82" s="362" t="s">
        <v>681</v>
      </c>
      <c r="C82" s="129"/>
      <c r="D82" s="129"/>
      <c r="E82" s="129"/>
      <c r="F82" s="129"/>
      <c r="G82" s="129"/>
      <c r="H82" s="129"/>
      <c r="I82" s="129"/>
      <c r="J82" s="129"/>
      <c r="K82" s="129"/>
      <c r="L82" s="129"/>
      <c r="M82" s="129"/>
      <c r="N82" s="140"/>
      <c r="O82" s="248"/>
      <c r="P82" s="140"/>
      <c r="Q82" s="296"/>
      <c r="R82" s="129"/>
    </row>
    <row r="83" spans="1:18" ht="21" customHeight="1" x14ac:dyDescent="0.45">
      <c r="B83" s="362" t="s">
        <v>682</v>
      </c>
      <c r="C83" s="129"/>
      <c r="D83" s="129"/>
      <c r="E83" s="129"/>
      <c r="F83" s="129"/>
      <c r="G83" s="129"/>
      <c r="H83" s="129"/>
      <c r="I83" s="129"/>
      <c r="J83" s="129"/>
      <c r="K83" s="129"/>
      <c r="L83" s="129"/>
      <c r="M83" s="129"/>
      <c r="N83" s="140"/>
      <c r="O83" s="248"/>
      <c r="P83" s="140"/>
      <c r="Q83" s="296"/>
      <c r="R83" s="129"/>
    </row>
    <row r="84" spans="1:18" ht="21" customHeight="1" x14ac:dyDescent="0.45">
      <c r="B84" s="362" t="s">
        <v>683</v>
      </c>
      <c r="C84" s="129"/>
      <c r="D84" s="129"/>
      <c r="E84" s="129"/>
      <c r="F84" s="129"/>
      <c r="G84" s="129"/>
      <c r="H84" s="129"/>
      <c r="I84" s="129"/>
      <c r="J84" s="129"/>
      <c r="K84" s="129"/>
      <c r="L84" s="129"/>
      <c r="M84" s="129"/>
      <c r="N84" s="140"/>
      <c r="O84" s="248"/>
      <c r="P84" s="140"/>
      <c r="Q84" s="296"/>
      <c r="R84" s="129"/>
    </row>
    <row r="85" spans="1:18" ht="21" customHeight="1" x14ac:dyDescent="0.45">
      <c r="B85" s="362" t="s">
        <v>684</v>
      </c>
      <c r="C85" s="129"/>
      <c r="D85" s="129"/>
      <c r="E85" s="129"/>
      <c r="F85" s="129"/>
      <c r="G85" s="129"/>
      <c r="H85" s="129"/>
      <c r="I85" s="129"/>
      <c r="J85" s="129"/>
      <c r="K85" s="129"/>
      <c r="L85" s="129"/>
      <c r="M85" s="129"/>
      <c r="N85" s="140"/>
      <c r="O85" s="248"/>
      <c r="P85" s="140"/>
      <c r="Q85" s="296"/>
      <c r="R85" s="129"/>
    </row>
    <row r="86" spans="1:18" ht="21" customHeight="1" x14ac:dyDescent="0.45">
      <c r="B86" s="362" t="s">
        <v>685</v>
      </c>
      <c r="C86" s="129"/>
      <c r="D86" s="129"/>
      <c r="E86" s="129"/>
      <c r="F86" s="129"/>
      <c r="G86" s="129"/>
      <c r="H86" s="129"/>
      <c r="I86" s="129"/>
      <c r="J86" s="129"/>
      <c r="K86" s="129"/>
      <c r="L86" s="129"/>
      <c r="M86" s="129"/>
      <c r="N86" s="140"/>
      <c r="O86" s="248"/>
      <c r="P86" s="140"/>
      <c r="Q86" s="296"/>
      <c r="R86" s="129"/>
    </row>
    <row r="87" spans="1:18" ht="31.2" customHeight="1" x14ac:dyDescent="0.45">
      <c r="B87" s="362" t="s">
        <v>686</v>
      </c>
      <c r="C87" s="129"/>
      <c r="D87" s="129"/>
      <c r="E87" s="129"/>
      <c r="F87" s="129"/>
      <c r="G87" s="129"/>
      <c r="H87" s="129"/>
      <c r="I87" s="129"/>
      <c r="J87" s="129"/>
      <c r="K87" s="129"/>
      <c r="L87" s="129"/>
      <c r="M87" s="129"/>
      <c r="N87" s="140"/>
      <c r="O87" s="248"/>
      <c r="P87" s="140"/>
      <c r="Q87" s="306"/>
      <c r="R87" s="135"/>
    </row>
    <row r="88" spans="1:18" ht="25.2" customHeight="1" x14ac:dyDescent="0.45">
      <c r="B88" s="325" t="s">
        <v>281</v>
      </c>
      <c r="C88" s="129"/>
      <c r="D88" s="129"/>
      <c r="E88" s="129"/>
      <c r="F88" s="129"/>
      <c r="G88" s="129"/>
      <c r="H88" s="129"/>
      <c r="I88" s="129"/>
      <c r="J88" s="129"/>
      <c r="K88" s="129"/>
      <c r="L88" s="129"/>
      <c r="M88" s="129"/>
      <c r="N88" s="129"/>
      <c r="O88" s="296">
        <f>O69+SUM(O71:P87)-SUM(Q71:R87)</f>
        <v>0</v>
      </c>
      <c r="P88" s="129"/>
      <c r="Q88" s="129"/>
      <c r="R88" s="129"/>
    </row>
    <row r="89" spans="1:18" ht="13.95" customHeight="1" x14ac:dyDescent="0.45">
      <c r="B89" s="37"/>
      <c r="C89" s="27"/>
      <c r="D89" s="27"/>
      <c r="E89" s="27"/>
      <c r="F89" s="27"/>
      <c r="G89" s="27"/>
      <c r="H89" s="27"/>
      <c r="I89" s="27"/>
      <c r="J89" s="38"/>
      <c r="K89" s="38"/>
      <c r="L89" s="38"/>
      <c r="M89" s="38"/>
      <c r="N89" s="38"/>
      <c r="O89" s="38"/>
      <c r="P89" s="38"/>
      <c r="Q89" s="38"/>
      <c r="R89" s="38"/>
    </row>
    <row r="90" spans="1:18" ht="22.2" customHeight="1" x14ac:dyDescent="0.45">
      <c r="B90" s="230" t="s">
        <v>282</v>
      </c>
      <c r="C90" s="129"/>
      <c r="D90" s="129"/>
      <c r="E90" s="129"/>
      <c r="F90" s="129"/>
      <c r="G90" s="129"/>
      <c r="H90" s="129"/>
      <c r="I90" s="129"/>
      <c r="J90" s="129"/>
      <c r="K90" s="129"/>
      <c r="L90" s="129"/>
      <c r="M90" s="129"/>
      <c r="N90" s="129"/>
      <c r="O90" s="129"/>
      <c r="P90" s="129"/>
      <c r="Q90" s="129"/>
      <c r="R90" s="129"/>
    </row>
    <row r="91" spans="1:18" ht="59.5" customHeight="1" x14ac:dyDescent="0.45">
      <c r="A91" s="19" t="str">
        <f>_xlfn.CONCAT(MAX($A$1:A90),"-9")</f>
        <v>1-9</v>
      </c>
      <c r="B91" s="34" t="s">
        <v>687</v>
      </c>
      <c r="C91" s="263" t="s">
        <v>688</v>
      </c>
      <c r="D91" s="190"/>
      <c r="E91" s="256" t="s">
        <v>689</v>
      </c>
      <c r="F91" s="190"/>
      <c r="G91" s="263" t="s">
        <v>690</v>
      </c>
      <c r="H91" s="122"/>
      <c r="I91" s="190"/>
      <c r="J91" s="263" t="s">
        <v>691</v>
      </c>
      <c r="K91" s="190"/>
      <c r="L91" s="263" t="s">
        <v>656</v>
      </c>
      <c r="M91" s="190"/>
      <c r="N91" s="121" t="s">
        <v>657</v>
      </c>
      <c r="O91" s="122"/>
      <c r="P91" s="122"/>
      <c r="Q91" s="121" t="s">
        <v>692</v>
      </c>
      <c r="R91" s="122"/>
    </row>
    <row r="92" spans="1:18" ht="22.2" customHeight="1" x14ac:dyDescent="0.45">
      <c r="B92" s="35"/>
      <c r="C92" s="248"/>
      <c r="D92" s="140"/>
      <c r="E92" s="145"/>
      <c r="F92" s="146"/>
      <c r="G92" s="141"/>
      <c r="H92" s="129"/>
      <c r="I92" s="140"/>
      <c r="J92" s="141"/>
      <c r="K92" s="140"/>
      <c r="L92" s="248"/>
      <c r="M92" s="140"/>
      <c r="N92" s="245"/>
      <c r="O92" s="129"/>
      <c r="P92" s="129"/>
      <c r="Q92" s="245"/>
      <c r="R92" s="129"/>
    </row>
    <row r="93" spans="1:18" x14ac:dyDescent="0.55000000000000004">
      <c r="A93" s="19" t="str">
        <f>_xlfn.CONCAT(MAX($A$1:A92),"-10")</f>
        <v>1-10</v>
      </c>
      <c r="B93" s="25"/>
      <c r="C93" s="25"/>
      <c r="D93" s="25"/>
      <c r="E93" s="25"/>
      <c r="F93" s="25"/>
      <c r="G93" s="25"/>
      <c r="H93" s="25"/>
      <c r="I93" s="25"/>
      <c r="J93" s="25"/>
      <c r="K93" s="25"/>
      <c r="L93" s="25"/>
      <c r="M93" s="25"/>
      <c r="N93" s="25"/>
      <c r="O93" s="25"/>
      <c r="P93" s="25"/>
      <c r="Q93" s="25"/>
      <c r="R93" s="25"/>
    </row>
    <row r="94" spans="1:18" ht="22.2" customHeight="1" x14ac:dyDescent="0.45">
      <c r="B94" s="272" t="s">
        <v>283</v>
      </c>
      <c r="C94" s="135"/>
      <c r="D94" s="135"/>
      <c r="E94" s="135"/>
      <c r="F94" s="135"/>
      <c r="G94" s="135"/>
      <c r="H94" s="135"/>
      <c r="I94" s="135"/>
      <c r="J94" s="135"/>
      <c r="K94" s="135"/>
      <c r="L94" s="135"/>
      <c r="M94" s="135"/>
      <c r="N94" s="135"/>
      <c r="O94" s="135"/>
      <c r="P94" s="135"/>
      <c r="Q94" s="135"/>
      <c r="R94" s="135"/>
    </row>
    <row r="95" spans="1:18" ht="22.2" customHeight="1" x14ac:dyDescent="0.45">
      <c r="B95" s="363" t="s">
        <v>270</v>
      </c>
      <c r="C95" s="129"/>
      <c r="D95" s="129"/>
      <c r="E95" s="129"/>
      <c r="F95" s="129"/>
      <c r="G95" s="129"/>
      <c r="H95" s="129"/>
      <c r="I95" s="129"/>
      <c r="J95" s="129"/>
      <c r="K95" s="129"/>
      <c r="L95" s="129"/>
      <c r="M95" s="129"/>
      <c r="N95" s="140"/>
      <c r="O95" s="300"/>
      <c r="P95" s="129"/>
      <c r="Q95" s="129"/>
      <c r="R95" s="129"/>
    </row>
    <row r="96" spans="1:18" ht="22.2" customHeight="1" x14ac:dyDescent="0.45">
      <c r="B96" s="325" t="s">
        <v>284</v>
      </c>
      <c r="C96" s="129"/>
      <c r="D96" s="129"/>
      <c r="E96" s="129"/>
      <c r="F96" s="129"/>
      <c r="G96" s="129"/>
      <c r="H96" s="129"/>
      <c r="I96" s="129"/>
      <c r="J96" s="129"/>
      <c r="K96" s="129"/>
      <c r="L96" s="129"/>
      <c r="M96" s="129"/>
      <c r="N96" s="140"/>
      <c r="O96" s="364"/>
      <c r="P96" s="129"/>
      <c r="Q96" s="129"/>
      <c r="R96" s="129"/>
    </row>
    <row r="97" spans="2:18" ht="22.2" customHeight="1" x14ac:dyDescent="0.45">
      <c r="B97" s="325" t="s">
        <v>285</v>
      </c>
      <c r="C97" s="129"/>
      <c r="D97" s="129"/>
      <c r="E97" s="129"/>
      <c r="F97" s="129"/>
      <c r="G97" s="129"/>
      <c r="H97" s="129"/>
      <c r="I97" s="129"/>
      <c r="J97" s="129"/>
      <c r="K97" s="129"/>
      <c r="L97" s="129"/>
      <c r="M97" s="129"/>
      <c r="N97" s="140"/>
      <c r="O97" s="326" t="s">
        <v>642</v>
      </c>
      <c r="P97" s="140"/>
      <c r="Q97" s="294" t="s">
        <v>643</v>
      </c>
      <c r="R97" s="129"/>
    </row>
    <row r="98" spans="2:18" ht="21.45" customHeight="1" x14ac:dyDescent="0.45">
      <c r="B98" s="362" t="s">
        <v>509</v>
      </c>
      <c r="C98" s="129"/>
      <c r="D98" s="129"/>
      <c r="E98" s="129"/>
      <c r="F98" s="129"/>
      <c r="G98" s="129"/>
      <c r="H98" s="129"/>
      <c r="I98" s="129"/>
      <c r="J98" s="129"/>
      <c r="K98" s="129"/>
      <c r="L98" s="129"/>
      <c r="M98" s="129"/>
      <c r="N98" s="140"/>
      <c r="O98" s="248"/>
      <c r="P98" s="140"/>
      <c r="Q98" s="296"/>
      <c r="R98" s="129"/>
    </row>
    <row r="99" spans="2:18" ht="21.45" customHeight="1" x14ac:dyDescent="0.45">
      <c r="B99" s="362" t="s">
        <v>693</v>
      </c>
      <c r="C99" s="129"/>
      <c r="D99" s="129"/>
      <c r="E99" s="129"/>
      <c r="F99" s="129"/>
      <c r="G99" s="129"/>
      <c r="H99" s="129"/>
      <c r="I99" s="129"/>
      <c r="J99" s="129"/>
      <c r="K99" s="129"/>
      <c r="L99" s="129"/>
      <c r="M99" s="129"/>
      <c r="N99" s="140"/>
      <c r="O99" s="248"/>
      <c r="P99" s="140"/>
      <c r="Q99" s="296"/>
      <c r="R99" s="129"/>
    </row>
    <row r="100" spans="2:18" ht="21.45" customHeight="1" x14ac:dyDescent="0.45">
      <c r="B100" s="362" t="s">
        <v>694</v>
      </c>
      <c r="C100" s="129"/>
      <c r="D100" s="129"/>
      <c r="E100" s="129"/>
      <c r="F100" s="129"/>
      <c r="G100" s="129"/>
      <c r="H100" s="129"/>
      <c r="I100" s="129"/>
      <c r="J100" s="129"/>
      <c r="K100" s="129"/>
      <c r="L100" s="129"/>
      <c r="M100" s="129"/>
      <c r="N100" s="140"/>
      <c r="O100" s="248"/>
      <c r="P100" s="140"/>
      <c r="Q100" s="296"/>
      <c r="R100" s="129"/>
    </row>
    <row r="101" spans="2:18" ht="21.45" customHeight="1" x14ac:dyDescent="0.45">
      <c r="B101" s="362" t="s">
        <v>695</v>
      </c>
      <c r="C101" s="129"/>
      <c r="D101" s="129"/>
      <c r="E101" s="129"/>
      <c r="F101" s="129"/>
      <c r="G101" s="129"/>
      <c r="H101" s="129"/>
      <c r="I101" s="129"/>
      <c r="J101" s="129"/>
      <c r="K101" s="129"/>
      <c r="L101" s="129"/>
      <c r="M101" s="129"/>
      <c r="N101" s="140"/>
      <c r="O101" s="248"/>
      <c r="P101" s="140"/>
      <c r="Q101" s="296"/>
      <c r="R101" s="129"/>
    </row>
    <row r="102" spans="2:18" ht="21.45" customHeight="1" x14ac:dyDescent="0.45">
      <c r="B102" s="362" t="s">
        <v>696</v>
      </c>
      <c r="C102" s="129"/>
      <c r="D102" s="129"/>
      <c r="E102" s="129"/>
      <c r="F102" s="129"/>
      <c r="G102" s="129"/>
      <c r="H102" s="129"/>
      <c r="I102" s="129"/>
      <c r="J102" s="129"/>
      <c r="K102" s="129"/>
      <c r="L102" s="129"/>
      <c r="M102" s="129"/>
      <c r="N102" s="140"/>
      <c r="O102" s="248"/>
      <c r="P102" s="140"/>
      <c r="Q102" s="296"/>
      <c r="R102" s="129"/>
    </row>
    <row r="103" spans="2:18" ht="21.45" customHeight="1" x14ac:dyDescent="0.45">
      <c r="B103" s="362" t="s">
        <v>697</v>
      </c>
      <c r="C103" s="129"/>
      <c r="D103" s="129"/>
      <c r="E103" s="129"/>
      <c r="F103" s="129"/>
      <c r="G103" s="129"/>
      <c r="H103" s="129"/>
      <c r="I103" s="129"/>
      <c r="J103" s="129"/>
      <c r="K103" s="129"/>
      <c r="L103" s="129"/>
      <c r="M103" s="129"/>
      <c r="N103" s="140"/>
      <c r="O103" s="248"/>
      <c r="P103" s="140"/>
      <c r="Q103" s="296"/>
      <c r="R103" s="129"/>
    </row>
    <row r="104" spans="2:18" ht="21.45" customHeight="1" x14ac:dyDescent="0.45">
      <c r="B104" s="362" t="s">
        <v>515</v>
      </c>
      <c r="C104" s="129"/>
      <c r="D104" s="129"/>
      <c r="E104" s="129"/>
      <c r="F104" s="129"/>
      <c r="G104" s="129"/>
      <c r="H104" s="129"/>
      <c r="I104" s="129"/>
      <c r="J104" s="129"/>
      <c r="K104" s="129"/>
      <c r="L104" s="129"/>
      <c r="M104" s="129"/>
      <c r="N104" s="140"/>
      <c r="O104" s="248"/>
      <c r="P104" s="140"/>
      <c r="Q104" s="296"/>
      <c r="R104" s="129"/>
    </row>
    <row r="105" spans="2:18" ht="21" customHeight="1" x14ac:dyDescent="0.45">
      <c r="B105" s="362" t="s">
        <v>516</v>
      </c>
      <c r="C105" s="129"/>
      <c r="D105" s="129"/>
      <c r="E105" s="129"/>
      <c r="F105" s="129"/>
      <c r="G105" s="129"/>
      <c r="H105" s="129"/>
      <c r="I105" s="129"/>
      <c r="J105" s="129"/>
      <c r="K105" s="129"/>
      <c r="L105" s="129"/>
      <c r="M105" s="129"/>
      <c r="N105" s="140"/>
      <c r="O105" s="248"/>
      <c r="P105" s="140"/>
      <c r="Q105" s="296"/>
      <c r="R105" s="129"/>
    </row>
    <row r="106" spans="2:18" ht="21.45" customHeight="1" x14ac:dyDescent="0.45">
      <c r="B106" s="362" t="s">
        <v>517</v>
      </c>
      <c r="C106" s="129"/>
      <c r="D106" s="129"/>
      <c r="E106" s="129"/>
      <c r="F106" s="129"/>
      <c r="G106" s="129"/>
      <c r="H106" s="129"/>
      <c r="I106" s="129"/>
      <c r="J106" s="129"/>
      <c r="K106" s="129"/>
      <c r="L106" s="129"/>
      <c r="M106" s="129"/>
      <c r="N106" s="140"/>
      <c r="O106" s="248"/>
      <c r="P106" s="140"/>
      <c r="Q106" s="311"/>
      <c r="R106" s="138"/>
    </row>
    <row r="107" spans="2:18" ht="21.45" customHeight="1" x14ac:dyDescent="0.45">
      <c r="B107" s="362" t="s">
        <v>698</v>
      </c>
      <c r="C107" s="129"/>
      <c r="D107" s="129"/>
      <c r="E107" s="129"/>
      <c r="F107" s="129"/>
      <c r="G107" s="129"/>
      <c r="H107" s="129"/>
      <c r="I107" s="129"/>
      <c r="J107" s="129"/>
      <c r="K107" s="129"/>
      <c r="L107" s="129"/>
      <c r="M107" s="129"/>
      <c r="N107" s="140"/>
      <c r="O107" s="248"/>
      <c r="P107" s="140"/>
      <c r="Q107" s="296"/>
      <c r="R107" s="129"/>
    </row>
    <row r="108" spans="2:18" ht="21.45" customHeight="1" x14ac:dyDescent="0.45">
      <c r="B108" s="362" t="s">
        <v>519</v>
      </c>
      <c r="C108" s="129"/>
      <c r="D108" s="129"/>
      <c r="E108" s="129"/>
      <c r="F108" s="129"/>
      <c r="G108" s="129"/>
      <c r="H108" s="129"/>
      <c r="I108" s="129"/>
      <c r="J108" s="129"/>
      <c r="K108" s="129"/>
      <c r="L108" s="129"/>
      <c r="M108" s="129"/>
      <c r="N108" s="140"/>
      <c r="O108" s="248"/>
      <c r="P108" s="140"/>
      <c r="Q108" s="296"/>
      <c r="R108" s="129"/>
    </row>
    <row r="109" spans="2:18" ht="21.45" customHeight="1" x14ac:dyDescent="0.45">
      <c r="B109" s="362" t="s">
        <v>520</v>
      </c>
      <c r="C109" s="129"/>
      <c r="D109" s="129"/>
      <c r="E109" s="129"/>
      <c r="F109" s="129"/>
      <c r="G109" s="129"/>
      <c r="H109" s="129"/>
      <c r="I109" s="129"/>
      <c r="J109" s="129"/>
      <c r="K109" s="129"/>
      <c r="L109" s="129"/>
      <c r="M109" s="129"/>
      <c r="N109" s="140"/>
      <c r="O109" s="248"/>
      <c r="P109" s="140"/>
      <c r="Q109" s="296"/>
      <c r="R109" s="129"/>
    </row>
    <row r="110" spans="2:18" ht="21.45" customHeight="1" x14ac:dyDescent="0.45">
      <c r="B110" s="362" t="s">
        <v>699</v>
      </c>
      <c r="C110" s="129"/>
      <c r="D110" s="129"/>
      <c r="E110" s="129"/>
      <c r="F110" s="129"/>
      <c r="G110" s="129"/>
      <c r="H110" s="129"/>
      <c r="I110" s="129"/>
      <c r="J110" s="129"/>
      <c r="K110" s="129"/>
      <c r="L110" s="129"/>
      <c r="M110" s="129"/>
      <c r="N110" s="140"/>
      <c r="O110" s="248"/>
      <c r="P110" s="140"/>
      <c r="Q110" s="296"/>
      <c r="R110" s="129"/>
    </row>
    <row r="111" spans="2:18" ht="21.45" customHeight="1" x14ac:dyDescent="0.45">
      <c r="B111" s="362" t="s">
        <v>522</v>
      </c>
      <c r="C111" s="129"/>
      <c r="D111" s="129"/>
      <c r="E111" s="129"/>
      <c r="F111" s="129"/>
      <c r="G111" s="129"/>
      <c r="H111" s="129"/>
      <c r="I111" s="129"/>
      <c r="J111" s="129"/>
      <c r="K111" s="129"/>
      <c r="L111" s="129"/>
      <c r="M111" s="129"/>
      <c r="N111" s="140"/>
      <c r="O111" s="248"/>
      <c r="P111" s="140"/>
      <c r="Q111" s="296"/>
      <c r="R111" s="129"/>
    </row>
    <row r="112" spans="2:18" ht="21.45" customHeight="1" x14ac:dyDescent="0.45">
      <c r="B112" s="362" t="s">
        <v>523</v>
      </c>
      <c r="C112" s="129"/>
      <c r="D112" s="129"/>
      <c r="E112" s="129"/>
      <c r="F112" s="129"/>
      <c r="G112" s="129"/>
      <c r="H112" s="129"/>
      <c r="I112" s="129"/>
      <c r="J112" s="129"/>
      <c r="K112" s="129"/>
      <c r="L112" s="129"/>
      <c r="M112" s="129"/>
      <c r="N112" s="140"/>
      <c r="O112" s="248"/>
      <c r="P112" s="140"/>
      <c r="Q112" s="296"/>
      <c r="R112" s="129"/>
    </row>
    <row r="113" spans="2:18" ht="21.45" customHeight="1" x14ac:dyDescent="0.45">
      <c r="B113" s="362" t="s">
        <v>524</v>
      </c>
      <c r="C113" s="129"/>
      <c r="D113" s="129"/>
      <c r="E113" s="129"/>
      <c r="F113" s="129"/>
      <c r="G113" s="129"/>
      <c r="H113" s="129"/>
      <c r="I113" s="129"/>
      <c r="J113" s="129"/>
      <c r="K113" s="129"/>
      <c r="L113" s="129"/>
      <c r="M113" s="129"/>
      <c r="N113" s="140"/>
      <c r="O113" s="248"/>
      <c r="P113" s="140"/>
      <c r="Q113" s="306"/>
      <c r="R113" s="135"/>
    </row>
    <row r="114" spans="2:18" ht="21.45" customHeight="1" x14ac:dyDescent="0.45">
      <c r="B114" s="325" t="s">
        <v>286</v>
      </c>
      <c r="C114" s="129"/>
      <c r="D114" s="129"/>
      <c r="E114" s="129"/>
      <c r="F114" s="129"/>
      <c r="G114" s="129"/>
      <c r="H114" s="129"/>
      <c r="I114" s="129"/>
      <c r="J114" s="129"/>
      <c r="K114" s="129"/>
      <c r="L114" s="129"/>
      <c r="M114" s="129"/>
      <c r="N114" s="140"/>
      <c r="O114" s="296"/>
      <c r="P114" s="129"/>
      <c r="Q114" s="129"/>
      <c r="R114" s="129"/>
    </row>
    <row r="115" spans="2:18" ht="21.45" customHeight="1" x14ac:dyDescent="0.45">
      <c r="B115" s="365" t="s">
        <v>287</v>
      </c>
      <c r="C115" s="129"/>
      <c r="D115" s="129"/>
      <c r="E115" s="129"/>
      <c r="F115" s="129"/>
      <c r="G115" s="129"/>
      <c r="H115" s="129"/>
      <c r="I115" s="129"/>
      <c r="J115" s="129"/>
      <c r="K115" s="129"/>
      <c r="L115" s="129"/>
      <c r="M115" s="129"/>
      <c r="N115" s="140"/>
      <c r="O115" s="245"/>
      <c r="P115" s="129"/>
      <c r="Q115" s="129"/>
      <c r="R115" s="129"/>
    </row>
    <row r="116" spans="2:18" ht="21.45" customHeight="1" x14ac:dyDescent="0.45">
      <c r="B116" s="325" t="s">
        <v>288</v>
      </c>
      <c r="C116" s="129"/>
      <c r="D116" s="129"/>
      <c r="E116" s="129"/>
      <c r="F116" s="129"/>
      <c r="G116" s="129"/>
      <c r="H116" s="129"/>
      <c r="I116" s="129"/>
      <c r="J116" s="129"/>
      <c r="K116" s="129"/>
      <c r="L116" s="129"/>
      <c r="M116" s="129"/>
      <c r="N116" s="140"/>
      <c r="O116" s="296" cm="1">
        <f t="array" ref="O116">O96+SUM(O98:P113)-SUM(Q98:R113+O114+O115)</f>
        <v>0</v>
      </c>
      <c r="P116" s="129"/>
      <c r="Q116" s="129"/>
      <c r="R116" s="129"/>
    </row>
    <row r="117" spans="2:18" x14ac:dyDescent="0.55000000000000004">
      <c r="B117" s="25"/>
      <c r="C117" s="25"/>
      <c r="D117" s="25"/>
      <c r="E117" s="25"/>
      <c r="F117" s="25"/>
      <c r="G117" s="25"/>
      <c r="H117" s="25"/>
      <c r="I117" s="25"/>
      <c r="J117" s="25"/>
      <c r="K117" s="25"/>
      <c r="L117" s="25"/>
      <c r="M117" s="25"/>
      <c r="N117" s="25"/>
      <c r="O117" s="25"/>
      <c r="P117" s="25"/>
      <c r="Q117" s="25"/>
      <c r="R117" s="25"/>
    </row>
    <row r="118" spans="2:18" ht="20.5" customHeight="1" x14ac:dyDescent="0.45">
      <c r="B118" s="272" t="s">
        <v>289</v>
      </c>
      <c r="C118" s="135"/>
      <c r="D118" s="135"/>
      <c r="E118" s="135"/>
      <c r="F118" s="135"/>
      <c r="G118" s="135"/>
      <c r="H118" s="135"/>
      <c r="I118" s="135"/>
      <c r="J118" s="135"/>
      <c r="K118" s="135"/>
      <c r="L118" s="135"/>
      <c r="M118" s="135"/>
      <c r="N118" s="135"/>
      <c r="O118" s="129"/>
      <c r="P118" s="129"/>
      <c r="Q118" s="129"/>
      <c r="R118" s="129"/>
    </row>
    <row r="119" spans="2:18" ht="20.5" customHeight="1" x14ac:dyDescent="0.45">
      <c r="B119" s="363" t="s">
        <v>700</v>
      </c>
      <c r="C119" s="129"/>
      <c r="D119" s="129"/>
      <c r="E119" s="129"/>
      <c r="F119" s="129"/>
      <c r="G119" s="129"/>
      <c r="H119" s="129"/>
      <c r="I119" s="129"/>
      <c r="J119" s="129"/>
      <c r="K119" s="129"/>
      <c r="L119" s="129"/>
      <c r="M119" s="129"/>
      <c r="N119" s="140"/>
      <c r="O119" s="300"/>
      <c r="P119" s="129"/>
      <c r="Q119" s="129"/>
      <c r="R119" s="129"/>
    </row>
    <row r="120" spans="2:18" ht="20.5" customHeight="1" x14ac:dyDescent="0.45">
      <c r="B120" s="366" t="s">
        <v>701</v>
      </c>
      <c r="C120" s="367" t="s">
        <v>702</v>
      </c>
      <c r="D120" s="122"/>
      <c r="E120" s="122"/>
      <c r="F120" s="122"/>
      <c r="G120" s="122"/>
      <c r="H120" s="122"/>
      <c r="I120" s="122"/>
      <c r="J120" s="122"/>
      <c r="K120" s="122"/>
      <c r="L120" s="122"/>
      <c r="M120" s="122"/>
      <c r="N120" s="190"/>
      <c r="O120" s="300"/>
      <c r="P120" s="129"/>
      <c r="Q120" s="129"/>
      <c r="R120" s="129"/>
    </row>
    <row r="121" spans="2:18" ht="20.5" customHeight="1" x14ac:dyDescent="0.45">
      <c r="B121" s="189"/>
      <c r="C121" s="341" t="s">
        <v>703</v>
      </c>
      <c r="D121" s="129"/>
      <c r="E121" s="129"/>
      <c r="F121" s="129"/>
      <c r="G121" s="129"/>
      <c r="H121" s="129"/>
      <c r="I121" s="129"/>
      <c r="J121" s="129"/>
      <c r="K121" s="129"/>
      <c r="L121" s="129"/>
      <c r="M121" s="129"/>
      <c r="N121" s="140"/>
      <c r="O121" s="300"/>
      <c r="P121" s="129"/>
      <c r="Q121" s="129"/>
      <c r="R121" s="129"/>
    </row>
    <row r="122" spans="2:18" ht="20.5" customHeight="1" x14ac:dyDescent="0.45">
      <c r="B122" s="190"/>
      <c r="C122" s="341" t="s">
        <v>704</v>
      </c>
      <c r="D122" s="129"/>
      <c r="E122" s="129"/>
      <c r="F122" s="129"/>
      <c r="G122" s="129"/>
      <c r="H122" s="129"/>
      <c r="I122" s="129"/>
      <c r="J122" s="129"/>
      <c r="K122" s="129"/>
      <c r="L122" s="129"/>
      <c r="M122" s="129"/>
      <c r="N122" s="140"/>
      <c r="O122" s="300"/>
      <c r="P122" s="129"/>
      <c r="Q122" s="129"/>
      <c r="R122" s="129"/>
    </row>
    <row r="123" spans="2:18" ht="20.5" customHeight="1" x14ac:dyDescent="0.45">
      <c r="B123" s="368" t="s">
        <v>705</v>
      </c>
      <c r="C123" s="341"/>
      <c r="D123" s="129"/>
      <c r="E123" s="129"/>
      <c r="F123" s="129"/>
      <c r="G123" s="129"/>
      <c r="H123" s="129"/>
      <c r="I123" s="129"/>
      <c r="J123" s="129"/>
      <c r="K123" s="129"/>
      <c r="L123" s="129"/>
      <c r="M123" s="129"/>
      <c r="N123" s="140"/>
      <c r="O123" s="326" t="s">
        <v>706</v>
      </c>
      <c r="P123" s="140"/>
      <c r="Q123" s="294" t="s">
        <v>707</v>
      </c>
      <c r="R123" s="129"/>
    </row>
    <row r="124" spans="2:18" ht="20.5" customHeight="1" x14ac:dyDescent="0.45">
      <c r="B124" s="189"/>
      <c r="C124" s="341" t="s">
        <v>708</v>
      </c>
      <c r="D124" s="129"/>
      <c r="E124" s="129"/>
      <c r="F124" s="129"/>
      <c r="G124" s="129"/>
      <c r="H124" s="129"/>
      <c r="I124" s="129"/>
      <c r="J124" s="129"/>
      <c r="K124" s="129"/>
      <c r="L124" s="129"/>
      <c r="M124" s="129"/>
      <c r="N124" s="140"/>
      <c r="O124" s="141"/>
      <c r="P124" s="140"/>
      <c r="Q124" s="300"/>
      <c r="R124" s="129"/>
    </row>
    <row r="125" spans="2:18" ht="20.5" customHeight="1" x14ac:dyDescent="0.45">
      <c r="B125" s="189"/>
      <c r="C125" s="341" t="s">
        <v>709</v>
      </c>
      <c r="D125" s="129"/>
      <c r="E125" s="129"/>
      <c r="F125" s="129"/>
      <c r="G125" s="129"/>
      <c r="H125" s="129"/>
      <c r="I125" s="129"/>
      <c r="J125" s="129"/>
      <c r="K125" s="129"/>
      <c r="L125" s="129"/>
      <c r="M125" s="129"/>
      <c r="N125" s="140"/>
      <c r="O125" s="141"/>
      <c r="P125" s="140"/>
      <c r="Q125" s="300"/>
      <c r="R125" s="129"/>
    </row>
    <row r="126" spans="2:18" ht="20.5" customHeight="1" x14ac:dyDescent="0.45">
      <c r="B126" s="189"/>
      <c r="C126" s="341" t="s">
        <v>710</v>
      </c>
      <c r="D126" s="129"/>
      <c r="E126" s="129"/>
      <c r="F126" s="129"/>
      <c r="G126" s="129"/>
      <c r="H126" s="129"/>
      <c r="I126" s="129"/>
      <c r="J126" s="129"/>
      <c r="K126" s="129"/>
      <c r="L126" s="129"/>
      <c r="M126" s="129"/>
      <c r="N126" s="140"/>
      <c r="O126" s="141"/>
      <c r="P126" s="140"/>
      <c r="Q126" s="300"/>
      <c r="R126" s="129"/>
    </row>
    <row r="127" spans="2:18" ht="20.5" customHeight="1" x14ac:dyDescent="0.45">
      <c r="B127" s="189"/>
      <c r="C127" s="341" t="s">
        <v>711</v>
      </c>
      <c r="D127" s="129"/>
      <c r="E127" s="129"/>
      <c r="F127" s="129"/>
      <c r="G127" s="129"/>
      <c r="H127" s="129"/>
      <c r="I127" s="129"/>
      <c r="J127" s="129"/>
      <c r="K127" s="129"/>
      <c r="L127" s="129"/>
      <c r="M127" s="129"/>
      <c r="N127" s="140"/>
      <c r="O127" s="141"/>
      <c r="P127" s="140"/>
      <c r="Q127" s="300"/>
      <c r="R127" s="129"/>
    </row>
    <row r="128" spans="2:18" ht="20.5" customHeight="1" x14ac:dyDescent="0.45">
      <c r="B128" s="189"/>
      <c r="C128" s="341" t="s">
        <v>712</v>
      </c>
      <c r="D128" s="129"/>
      <c r="E128" s="129"/>
      <c r="F128" s="129"/>
      <c r="G128" s="129"/>
      <c r="H128" s="129"/>
      <c r="I128" s="129"/>
      <c r="J128" s="129"/>
      <c r="K128" s="129"/>
      <c r="L128" s="129"/>
      <c r="M128" s="129"/>
      <c r="N128" s="140"/>
      <c r="O128" s="141"/>
      <c r="P128" s="140"/>
      <c r="Q128" s="300"/>
      <c r="R128" s="129"/>
    </row>
    <row r="129" spans="1:21" ht="20.5" customHeight="1" x14ac:dyDescent="0.45">
      <c r="B129" s="190"/>
      <c r="C129" s="341" t="s">
        <v>713</v>
      </c>
      <c r="D129" s="129"/>
      <c r="E129" s="129"/>
      <c r="F129" s="129"/>
      <c r="G129" s="129"/>
      <c r="H129" s="129"/>
      <c r="I129" s="129"/>
      <c r="J129" s="129"/>
      <c r="K129" s="129"/>
      <c r="L129" s="129"/>
      <c r="M129" s="129"/>
      <c r="N129" s="140"/>
      <c r="O129" s="141"/>
      <c r="P129" s="140"/>
      <c r="Q129" s="300"/>
      <c r="R129" s="129"/>
    </row>
    <row r="130" spans="1:21" ht="20.5" customHeight="1" x14ac:dyDescent="0.45">
      <c r="B130" s="43" t="s">
        <v>714</v>
      </c>
      <c r="C130" s="341" t="s">
        <v>715</v>
      </c>
      <c r="D130" s="129"/>
      <c r="E130" s="129"/>
      <c r="F130" s="129"/>
      <c r="G130" s="129"/>
      <c r="H130" s="129"/>
      <c r="I130" s="129"/>
      <c r="J130" s="129"/>
      <c r="K130" s="129"/>
      <c r="L130" s="129"/>
      <c r="M130" s="129"/>
      <c r="N130" s="140"/>
      <c r="O130" s="141"/>
      <c r="P130" s="140"/>
      <c r="Q130" s="300"/>
      <c r="R130" s="129"/>
    </row>
    <row r="131" spans="1:21" x14ac:dyDescent="0.55000000000000004">
      <c r="B131" s="25"/>
      <c r="C131" s="25"/>
      <c r="D131" s="25"/>
      <c r="E131" s="25"/>
      <c r="F131" s="25"/>
      <c r="G131" s="25"/>
      <c r="H131" s="25"/>
      <c r="I131" s="25"/>
      <c r="J131" s="25"/>
      <c r="K131" s="25"/>
      <c r="L131" s="25"/>
      <c r="M131" s="25"/>
      <c r="N131" s="25"/>
      <c r="O131" s="25"/>
      <c r="P131" s="25"/>
      <c r="Q131" s="25"/>
      <c r="R131" s="25"/>
    </row>
    <row r="132" spans="1:21" ht="28.95" customHeight="1" x14ac:dyDescent="0.45">
      <c r="B132" s="300" t="s">
        <v>716</v>
      </c>
      <c r="C132" s="129"/>
      <c r="D132" s="129"/>
      <c r="E132" s="129"/>
      <c r="F132" s="129"/>
      <c r="G132" s="129"/>
      <c r="H132" s="129"/>
      <c r="I132" s="129"/>
      <c r="J132" s="129"/>
      <c r="K132" s="129"/>
      <c r="L132" s="129"/>
      <c r="M132" s="129"/>
      <c r="N132" s="129"/>
      <c r="O132" s="129"/>
      <c r="P132" s="129"/>
      <c r="Q132" s="129"/>
      <c r="R132" s="129"/>
    </row>
    <row r="133" spans="1:21" ht="66.650000000000006" customHeight="1" x14ac:dyDescent="0.45">
      <c r="A133" s="19" t="str">
        <f>_xlfn.CONCAT(MAX($A$1:A132),"-11")</f>
        <v>1-11</v>
      </c>
      <c r="B133" s="369" t="s">
        <v>717</v>
      </c>
      <c r="C133" s="122"/>
      <c r="D133" s="190"/>
      <c r="E133" s="370" t="s">
        <v>718</v>
      </c>
      <c r="F133" s="129"/>
      <c r="G133" s="129"/>
      <c r="H133" s="140"/>
      <c r="I133" s="371" t="s">
        <v>719</v>
      </c>
      <c r="J133" s="129"/>
      <c r="K133" s="129"/>
      <c r="L133" s="129"/>
      <c r="M133" s="129"/>
      <c r="N133" s="129"/>
      <c r="O133" s="129"/>
      <c r="P133" s="129"/>
      <c r="Q133" s="129"/>
      <c r="R133" s="129"/>
    </row>
    <row r="134" spans="1:21" ht="21" customHeight="1" x14ac:dyDescent="0.45">
      <c r="B134" s="247"/>
      <c r="C134" s="129"/>
      <c r="D134" s="140"/>
      <c r="E134" s="147"/>
      <c r="F134" s="129"/>
      <c r="G134" s="129"/>
      <c r="H134" s="140"/>
      <c r="I134" s="128"/>
      <c r="J134" s="129"/>
      <c r="K134" s="129"/>
      <c r="L134" s="129"/>
      <c r="M134" s="129"/>
      <c r="N134" s="129"/>
      <c r="O134" s="129"/>
      <c r="P134" s="129"/>
      <c r="Q134" s="129"/>
      <c r="R134" s="129"/>
    </row>
    <row r="135" spans="1:21" ht="21" customHeight="1" x14ac:dyDescent="0.45">
      <c r="B135" s="247"/>
      <c r="C135" s="129"/>
      <c r="D135" s="140"/>
      <c r="E135" s="147"/>
      <c r="F135" s="129"/>
      <c r="G135" s="129"/>
      <c r="H135" s="140"/>
      <c r="I135" s="128"/>
      <c r="J135" s="129"/>
      <c r="K135" s="129"/>
      <c r="L135" s="129"/>
      <c r="M135" s="129"/>
      <c r="N135" s="129"/>
      <c r="O135" s="129"/>
      <c r="P135" s="129"/>
      <c r="Q135" s="129"/>
      <c r="R135" s="129"/>
      <c r="U135" s="1" t="s">
        <v>720</v>
      </c>
    </row>
    <row r="136" spans="1:21" ht="21" customHeight="1" x14ac:dyDescent="0.45">
      <c r="B136" s="247"/>
      <c r="C136" s="129"/>
      <c r="D136" s="140"/>
      <c r="E136" s="147"/>
      <c r="F136" s="129"/>
      <c r="G136" s="129"/>
      <c r="H136" s="140"/>
      <c r="I136" s="128"/>
      <c r="J136" s="129"/>
      <c r="K136" s="129"/>
      <c r="L136" s="129"/>
      <c r="M136" s="129"/>
      <c r="N136" s="129"/>
      <c r="O136" s="129"/>
      <c r="P136" s="129"/>
      <c r="Q136" s="129"/>
      <c r="R136" s="129"/>
      <c r="U136" s="1" t="s">
        <v>721</v>
      </c>
    </row>
    <row r="137" spans="1:21" ht="21" customHeight="1" x14ac:dyDescent="0.45">
      <c r="B137" s="247"/>
      <c r="C137" s="129"/>
      <c r="D137" s="140"/>
      <c r="E137" s="147"/>
      <c r="F137" s="129"/>
      <c r="G137" s="129"/>
      <c r="H137" s="140"/>
      <c r="I137" s="128"/>
      <c r="J137" s="129"/>
      <c r="K137" s="129"/>
      <c r="L137" s="129"/>
      <c r="M137" s="129"/>
      <c r="N137" s="129"/>
      <c r="O137" s="129"/>
      <c r="P137" s="129"/>
      <c r="Q137" s="129"/>
      <c r="R137" s="129"/>
    </row>
    <row r="138" spans="1:21" ht="21" customHeight="1" x14ac:dyDescent="0.55000000000000004">
      <c r="A138" s="19" t="str">
        <f>_xlfn.CONCAT(MAX($A$1:A137),"-12")</f>
        <v>1-12</v>
      </c>
      <c r="B138" s="25"/>
      <c r="C138" s="25"/>
      <c r="D138" s="25"/>
      <c r="E138" s="25"/>
      <c r="F138" s="25"/>
      <c r="G138" s="25"/>
      <c r="H138" s="25"/>
      <c r="I138" s="25"/>
      <c r="J138" s="25"/>
      <c r="K138" s="25"/>
      <c r="L138" s="25"/>
      <c r="M138" s="25"/>
      <c r="N138" s="25"/>
      <c r="O138" s="25"/>
      <c r="P138" s="25"/>
      <c r="Q138" s="25"/>
      <c r="R138" s="25"/>
    </row>
    <row r="139" spans="1:21" ht="21" customHeight="1" x14ac:dyDescent="0.45">
      <c r="B139" s="230" t="s">
        <v>290</v>
      </c>
      <c r="C139" s="129"/>
      <c r="D139" s="129"/>
      <c r="E139" s="129"/>
      <c r="F139" s="129"/>
      <c r="G139" s="129"/>
      <c r="H139" s="129"/>
      <c r="I139" s="129"/>
      <c r="J139" s="129"/>
      <c r="K139" s="129"/>
      <c r="L139" s="129"/>
      <c r="M139" s="129"/>
      <c r="N139" s="129"/>
      <c r="O139" s="129"/>
      <c r="P139" s="129"/>
      <c r="Q139" s="129"/>
      <c r="R139" s="129"/>
    </row>
    <row r="140" spans="1:21" ht="21" customHeight="1" x14ac:dyDescent="0.45">
      <c r="B140" s="230" t="s">
        <v>291</v>
      </c>
      <c r="C140" s="129"/>
      <c r="D140" s="129"/>
      <c r="E140" s="129"/>
      <c r="F140" s="129"/>
      <c r="G140" s="129"/>
      <c r="H140" s="129"/>
      <c r="I140" s="129"/>
      <c r="J140" s="129"/>
      <c r="K140" s="129"/>
      <c r="L140" s="129"/>
      <c r="M140" s="129"/>
      <c r="N140" s="129"/>
      <c r="O140" s="129"/>
      <c r="P140" s="129"/>
      <c r="Q140" s="129"/>
      <c r="R140" s="129"/>
    </row>
    <row r="141" spans="1:21" ht="21" customHeight="1" x14ac:dyDescent="0.45">
      <c r="B141" s="215" t="s">
        <v>722</v>
      </c>
      <c r="C141" s="129"/>
      <c r="D141" s="129"/>
      <c r="E141" s="129"/>
      <c r="F141" s="129"/>
      <c r="G141" s="129"/>
      <c r="H141" s="129"/>
      <c r="I141" s="129"/>
      <c r="J141" s="129"/>
      <c r="K141" s="129"/>
      <c r="L141" s="129"/>
      <c r="M141" s="129"/>
      <c r="N141" s="140"/>
      <c r="O141" s="300"/>
      <c r="P141" s="129"/>
      <c r="Q141" s="129"/>
      <c r="R141" s="129"/>
    </row>
    <row r="142" spans="1:21" s="2" customFormat="1" ht="21" customHeight="1" x14ac:dyDescent="0.45">
      <c r="A142" s="53"/>
      <c r="B142" s="372" t="s">
        <v>723</v>
      </c>
      <c r="C142" s="187"/>
      <c r="D142" s="341" t="s">
        <v>724</v>
      </c>
      <c r="E142" s="129"/>
      <c r="F142" s="129"/>
      <c r="G142" s="129"/>
      <c r="H142" s="129"/>
      <c r="I142" s="129"/>
      <c r="J142" s="129"/>
      <c r="K142" s="129"/>
      <c r="L142" s="129"/>
      <c r="M142" s="129"/>
      <c r="N142" s="140"/>
      <c r="O142" s="373"/>
      <c r="P142" s="374"/>
      <c r="Q142" s="374"/>
      <c r="R142" s="374"/>
      <c r="T142" s="1"/>
    </row>
    <row r="143" spans="1:21" s="2" customFormat="1" ht="21" customHeight="1" x14ac:dyDescent="0.45">
      <c r="A143" s="53"/>
      <c r="B143" s="188"/>
      <c r="C143" s="189"/>
      <c r="D143" s="341" t="s">
        <v>725</v>
      </c>
      <c r="E143" s="129"/>
      <c r="F143" s="129"/>
      <c r="G143" s="129"/>
      <c r="H143" s="129"/>
      <c r="I143" s="129"/>
      <c r="J143" s="129"/>
      <c r="K143" s="129"/>
      <c r="L143" s="129"/>
      <c r="M143" s="129"/>
      <c r="N143" s="140"/>
      <c r="O143" s="245"/>
      <c r="P143" s="129"/>
      <c r="Q143" s="129"/>
      <c r="R143" s="129"/>
      <c r="T143" s="1"/>
    </row>
    <row r="144" spans="1:21" s="2" customFormat="1" ht="21" customHeight="1" x14ac:dyDescent="0.45">
      <c r="A144" s="53"/>
      <c r="B144" s="188"/>
      <c r="C144" s="189"/>
      <c r="D144" s="341" t="s">
        <v>726</v>
      </c>
      <c r="E144" s="129"/>
      <c r="F144" s="129"/>
      <c r="G144" s="129"/>
      <c r="H144" s="129"/>
      <c r="I144" s="129"/>
      <c r="J144" s="129"/>
      <c r="K144" s="129"/>
      <c r="L144" s="129"/>
      <c r="M144" s="129"/>
      <c r="N144" s="140"/>
      <c r="O144" s="245"/>
      <c r="P144" s="129"/>
      <c r="Q144" s="129"/>
      <c r="R144" s="129"/>
      <c r="T144" s="1"/>
    </row>
    <row r="145" spans="1:20" s="2" customFormat="1" ht="21" customHeight="1" x14ac:dyDescent="0.45">
      <c r="A145" s="53"/>
      <c r="B145" s="122"/>
      <c r="C145" s="190"/>
      <c r="D145" s="341" t="s">
        <v>727</v>
      </c>
      <c r="E145" s="129"/>
      <c r="F145" s="129"/>
      <c r="G145" s="129"/>
      <c r="H145" s="129"/>
      <c r="I145" s="129"/>
      <c r="J145" s="129"/>
      <c r="K145" s="129"/>
      <c r="L145" s="129"/>
      <c r="M145" s="129"/>
      <c r="N145" s="140"/>
      <c r="O145" s="245">
        <f>O143-O144</f>
        <v>0</v>
      </c>
      <c r="P145" s="129"/>
      <c r="Q145" s="129"/>
      <c r="R145" s="129"/>
      <c r="T145" s="1"/>
    </row>
    <row r="146" spans="1:20" s="2" customFormat="1" ht="21" customHeight="1" x14ac:dyDescent="0.45">
      <c r="A146" s="53"/>
      <c r="B146" s="372" t="s">
        <v>728</v>
      </c>
      <c r="C146" s="187"/>
      <c r="D146" s="341" t="s">
        <v>729</v>
      </c>
      <c r="E146" s="129"/>
      <c r="F146" s="129"/>
      <c r="G146" s="129"/>
      <c r="H146" s="129"/>
      <c r="I146" s="129"/>
      <c r="J146" s="129"/>
      <c r="K146" s="129"/>
      <c r="L146" s="129"/>
      <c r="M146" s="129"/>
      <c r="N146" s="140"/>
      <c r="O146" s="373"/>
      <c r="P146" s="374"/>
      <c r="Q146" s="374"/>
      <c r="R146" s="374"/>
      <c r="T146" s="1"/>
    </row>
    <row r="147" spans="1:20" s="2" customFormat="1" ht="21" customHeight="1" x14ac:dyDescent="0.45">
      <c r="A147" s="53"/>
      <c r="B147" s="188"/>
      <c r="C147" s="189"/>
      <c r="D147" s="341" t="s">
        <v>730</v>
      </c>
      <c r="E147" s="129"/>
      <c r="F147" s="129"/>
      <c r="G147" s="129"/>
      <c r="H147" s="129"/>
      <c r="I147" s="129"/>
      <c r="J147" s="129"/>
      <c r="K147" s="129"/>
      <c r="L147" s="129"/>
      <c r="M147" s="129"/>
      <c r="N147" s="140"/>
      <c r="O147" s="245"/>
      <c r="P147" s="129"/>
      <c r="Q147" s="129"/>
      <c r="R147" s="129"/>
      <c r="T147" s="1"/>
    </row>
    <row r="148" spans="1:20" s="2" customFormat="1" ht="21" customHeight="1" x14ac:dyDescent="0.45">
      <c r="A148" s="53"/>
      <c r="B148" s="188"/>
      <c r="C148" s="189"/>
      <c r="D148" s="341" t="s">
        <v>731</v>
      </c>
      <c r="E148" s="129"/>
      <c r="F148" s="129"/>
      <c r="G148" s="129"/>
      <c r="H148" s="129"/>
      <c r="I148" s="129"/>
      <c r="J148" s="129"/>
      <c r="K148" s="129"/>
      <c r="L148" s="129"/>
      <c r="M148" s="129"/>
      <c r="N148" s="140"/>
      <c r="O148" s="245"/>
      <c r="P148" s="129"/>
      <c r="Q148" s="129"/>
      <c r="R148" s="129"/>
      <c r="T148" s="1"/>
    </row>
    <row r="149" spans="1:20" s="2" customFormat="1" ht="21" customHeight="1" x14ac:dyDescent="0.45">
      <c r="A149" s="53"/>
      <c r="B149" s="122"/>
      <c r="C149" s="190"/>
      <c r="D149" s="341" t="s">
        <v>732</v>
      </c>
      <c r="E149" s="129"/>
      <c r="F149" s="129"/>
      <c r="G149" s="129"/>
      <c r="H149" s="129"/>
      <c r="I149" s="129"/>
      <c r="J149" s="129"/>
      <c r="K149" s="129"/>
      <c r="L149" s="129"/>
      <c r="M149" s="129"/>
      <c r="N149" s="140"/>
      <c r="O149" s="245">
        <f>O147-O148</f>
        <v>0</v>
      </c>
      <c r="P149" s="129"/>
      <c r="Q149" s="129"/>
      <c r="R149" s="129"/>
      <c r="T149" s="1"/>
    </row>
    <row r="150" spans="1:20" s="2" customFormat="1" ht="21" customHeight="1" x14ac:dyDescent="0.45">
      <c r="A150" s="53"/>
      <c r="B150" s="372" t="s">
        <v>733</v>
      </c>
      <c r="C150" s="187"/>
      <c r="D150" s="341" t="s">
        <v>734</v>
      </c>
      <c r="E150" s="129"/>
      <c r="F150" s="129"/>
      <c r="G150" s="129"/>
      <c r="H150" s="129"/>
      <c r="I150" s="129"/>
      <c r="J150" s="129"/>
      <c r="K150" s="129"/>
      <c r="L150" s="129"/>
      <c r="M150" s="129"/>
      <c r="N150" s="140"/>
      <c r="O150" s="245"/>
      <c r="P150" s="129"/>
      <c r="Q150" s="129"/>
      <c r="R150" s="129"/>
      <c r="T150" s="1"/>
    </row>
    <row r="151" spans="1:20" s="2" customFormat="1" ht="21" customHeight="1" x14ac:dyDescent="0.45">
      <c r="A151" s="53"/>
      <c r="B151" s="122"/>
      <c r="C151" s="190"/>
      <c r="D151" s="341" t="s">
        <v>735</v>
      </c>
      <c r="E151" s="129"/>
      <c r="F151" s="129"/>
      <c r="G151" s="129"/>
      <c r="H151" s="129"/>
      <c r="I151" s="129"/>
      <c r="J151" s="129"/>
      <c r="K151" s="129"/>
      <c r="L151" s="129"/>
      <c r="M151" s="129"/>
      <c r="N151" s="140"/>
      <c r="O151" s="245"/>
      <c r="P151" s="129"/>
      <c r="Q151" s="129"/>
      <c r="R151" s="129"/>
      <c r="T151" s="1"/>
    </row>
    <row r="152" spans="1:20" s="2" customFormat="1" ht="21" customHeight="1" x14ac:dyDescent="0.45">
      <c r="A152" s="53"/>
      <c r="B152" s="372" t="s">
        <v>736</v>
      </c>
      <c r="C152" s="140"/>
      <c r="D152" s="341" t="s">
        <v>737</v>
      </c>
      <c r="E152" s="129"/>
      <c r="F152" s="129"/>
      <c r="G152" s="129"/>
      <c r="H152" s="129"/>
      <c r="I152" s="129"/>
      <c r="J152" s="129"/>
      <c r="K152" s="129"/>
      <c r="L152" s="129"/>
      <c r="M152" s="129"/>
      <c r="N152" s="140"/>
      <c r="O152" s="245"/>
      <c r="P152" s="129"/>
      <c r="Q152" s="129"/>
      <c r="R152" s="129"/>
      <c r="T152" s="1"/>
    </row>
    <row r="153" spans="1:20" x14ac:dyDescent="0.55000000000000004">
      <c r="B153" s="25"/>
      <c r="C153" s="25"/>
      <c r="D153" s="25"/>
      <c r="E153" s="25"/>
      <c r="F153" s="25"/>
      <c r="G153" s="25"/>
      <c r="H153" s="25"/>
      <c r="I153" s="25"/>
      <c r="J153" s="25"/>
      <c r="K153" s="25"/>
      <c r="L153" s="25"/>
      <c r="M153" s="25"/>
      <c r="N153" s="25"/>
      <c r="O153" s="25"/>
      <c r="P153" s="25"/>
      <c r="Q153" s="25"/>
      <c r="R153" s="25"/>
    </row>
    <row r="154" spans="1:20" ht="21" customHeight="1" x14ac:dyDescent="0.45">
      <c r="B154" s="230" t="s">
        <v>293</v>
      </c>
      <c r="C154" s="129"/>
      <c r="D154" s="129"/>
      <c r="E154" s="129"/>
      <c r="F154" s="129"/>
      <c r="G154" s="129"/>
      <c r="H154" s="129"/>
      <c r="I154" s="129"/>
      <c r="J154" s="129"/>
      <c r="K154" s="129"/>
      <c r="L154" s="129"/>
      <c r="M154" s="129"/>
      <c r="N154" s="129"/>
      <c r="O154" s="129"/>
      <c r="P154" s="129"/>
      <c r="Q154" s="129"/>
      <c r="R154" s="129"/>
    </row>
    <row r="155" spans="1:20" ht="28.2" customHeight="1" x14ac:dyDescent="0.45">
      <c r="B155" s="294" t="s">
        <v>738</v>
      </c>
      <c r="C155" s="129"/>
      <c r="D155" s="129"/>
      <c r="E155" s="129"/>
      <c r="F155" s="129"/>
      <c r="G155" s="129"/>
      <c r="H155" s="129"/>
      <c r="I155" s="129"/>
      <c r="J155" s="129"/>
      <c r="K155" s="129"/>
      <c r="L155" s="129"/>
      <c r="M155" s="129"/>
      <c r="N155" s="129"/>
      <c r="O155" s="129"/>
      <c r="P155" s="129"/>
      <c r="Q155" s="129"/>
      <c r="R155" s="129"/>
    </row>
    <row r="156" spans="1:20" ht="78.650000000000006" customHeight="1" x14ac:dyDescent="0.45">
      <c r="A156" s="19" t="str">
        <f>_xlfn.CONCAT(MAX($A$1:A155),"-13")</f>
        <v>1-13</v>
      </c>
      <c r="B156" s="337" t="s">
        <v>739</v>
      </c>
      <c r="C156" s="122"/>
      <c r="D156" s="190"/>
      <c r="E156" s="263" t="s">
        <v>740</v>
      </c>
      <c r="F156" s="190"/>
      <c r="G156" s="263" t="s">
        <v>741</v>
      </c>
      <c r="H156" s="122"/>
      <c r="I156" s="122"/>
      <c r="J156" s="190"/>
      <c r="K156" s="263" t="s">
        <v>742</v>
      </c>
      <c r="L156" s="122"/>
      <c r="M156" s="190"/>
      <c r="N156" s="121" t="s">
        <v>743</v>
      </c>
      <c r="O156" s="122"/>
      <c r="P156" s="122"/>
      <c r="Q156" s="122"/>
      <c r="R156" s="122"/>
    </row>
    <row r="157" spans="1:20" ht="21" customHeight="1" x14ac:dyDescent="0.45">
      <c r="B157" s="139"/>
      <c r="C157" s="129"/>
      <c r="D157" s="140"/>
      <c r="E157" s="141"/>
      <c r="F157" s="140"/>
      <c r="G157" s="248"/>
      <c r="H157" s="129"/>
      <c r="I157" s="129"/>
      <c r="J157" s="140"/>
      <c r="K157" s="248"/>
      <c r="L157" s="129"/>
      <c r="M157" s="140"/>
      <c r="N157" s="375"/>
      <c r="O157" s="129"/>
      <c r="P157" s="129"/>
      <c r="Q157" s="129"/>
      <c r="R157" s="129"/>
    </row>
    <row r="158" spans="1:20" ht="21" customHeight="1" x14ac:dyDescent="0.45">
      <c r="B158" s="139"/>
      <c r="C158" s="129"/>
      <c r="D158" s="140"/>
      <c r="E158" s="141"/>
      <c r="F158" s="140"/>
      <c r="G158" s="248"/>
      <c r="H158" s="129"/>
      <c r="I158" s="129"/>
      <c r="J158" s="140"/>
      <c r="K158" s="248"/>
      <c r="L158" s="129"/>
      <c r="M158" s="140"/>
      <c r="N158" s="375"/>
      <c r="O158" s="129"/>
      <c r="P158" s="129"/>
      <c r="Q158" s="129"/>
      <c r="R158" s="129"/>
    </row>
    <row r="159" spans="1:20" ht="21" customHeight="1" x14ac:dyDescent="0.45">
      <c r="B159" s="139"/>
      <c r="C159" s="129"/>
      <c r="D159" s="140"/>
      <c r="E159" s="141"/>
      <c r="F159" s="140"/>
      <c r="G159" s="248"/>
      <c r="H159" s="129"/>
      <c r="I159" s="129"/>
      <c r="J159" s="140"/>
      <c r="K159" s="248"/>
      <c r="L159" s="129"/>
      <c r="M159" s="140"/>
      <c r="N159" s="375"/>
      <c r="O159" s="129"/>
      <c r="P159" s="129"/>
      <c r="Q159" s="129"/>
      <c r="R159" s="129"/>
    </row>
    <row r="160" spans="1:20" ht="21" customHeight="1" x14ac:dyDescent="0.45">
      <c r="B160" s="139"/>
      <c r="C160" s="129"/>
      <c r="D160" s="140"/>
      <c r="E160" s="141"/>
      <c r="F160" s="140"/>
      <c r="G160" s="248"/>
      <c r="H160" s="129"/>
      <c r="I160" s="129"/>
      <c r="J160" s="140"/>
      <c r="K160" s="248"/>
      <c r="L160" s="129"/>
      <c r="M160" s="140"/>
      <c r="N160" s="375"/>
      <c r="O160" s="129"/>
      <c r="P160" s="129"/>
      <c r="Q160" s="129"/>
      <c r="R160" s="129"/>
    </row>
    <row r="161" spans="1:18" ht="21" customHeight="1" x14ac:dyDescent="0.55000000000000004">
      <c r="A161" s="19" t="str">
        <f>_xlfn.CONCAT(MAX($A$1:A160),"-14")</f>
        <v>1-14</v>
      </c>
      <c r="B161" s="25"/>
      <c r="C161" s="25"/>
      <c r="D161" s="25"/>
      <c r="E161" s="25"/>
      <c r="F161" s="25"/>
      <c r="G161" s="25"/>
      <c r="H161" s="25"/>
      <c r="I161" s="25"/>
      <c r="J161" s="25"/>
      <c r="K161" s="25"/>
      <c r="L161" s="25"/>
      <c r="M161" s="25"/>
      <c r="N161" s="25"/>
      <c r="O161" s="25"/>
      <c r="P161" s="25"/>
      <c r="Q161" s="25"/>
      <c r="R161" s="25"/>
    </row>
    <row r="162" spans="1:18" ht="21" customHeight="1" x14ac:dyDescent="0.45">
      <c r="B162" s="230" t="s">
        <v>294</v>
      </c>
      <c r="C162" s="129"/>
      <c r="D162" s="129"/>
      <c r="E162" s="129"/>
      <c r="F162" s="129"/>
      <c r="G162" s="129"/>
      <c r="H162" s="129"/>
      <c r="I162" s="129"/>
      <c r="J162" s="129"/>
      <c r="K162" s="129"/>
      <c r="L162" s="129"/>
      <c r="M162" s="129"/>
      <c r="N162" s="129"/>
      <c r="O162" s="129"/>
      <c r="P162" s="129"/>
      <c r="Q162" s="129"/>
      <c r="R162" s="129"/>
    </row>
    <row r="163" spans="1:18" ht="42.65" customHeight="1" x14ac:dyDescent="0.45">
      <c r="A163" s="19" t="str">
        <f>_xlfn.CONCAT(MAX($A$1:A162),"-15")</f>
        <v>1-15</v>
      </c>
      <c r="B163" s="139" t="s">
        <v>744</v>
      </c>
      <c r="C163" s="129"/>
      <c r="D163" s="129"/>
      <c r="E163" s="129"/>
      <c r="F163" s="129"/>
      <c r="G163" s="129"/>
      <c r="H163" s="129"/>
      <c r="I163" s="129"/>
      <c r="J163" s="140"/>
      <c r="K163" s="300" t="s">
        <v>745</v>
      </c>
      <c r="L163" s="129"/>
      <c r="M163" s="129"/>
      <c r="N163" s="129"/>
      <c r="O163" s="129"/>
      <c r="P163" s="129"/>
      <c r="Q163" s="129"/>
      <c r="R163" s="129"/>
    </row>
    <row r="164" spans="1:18" ht="20.5" customHeight="1" x14ac:dyDescent="0.45">
      <c r="B164" s="215"/>
      <c r="C164" s="129"/>
      <c r="D164" s="129"/>
      <c r="E164" s="129"/>
      <c r="F164" s="129"/>
      <c r="G164" s="129"/>
      <c r="H164" s="129"/>
      <c r="I164" s="129"/>
      <c r="J164" s="140"/>
      <c r="K164" s="300"/>
      <c r="L164" s="129"/>
      <c r="M164" s="129"/>
      <c r="N164" s="129"/>
      <c r="O164" s="129"/>
      <c r="P164" s="129"/>
      <c r="Q164" s="129"/>
      <c r="R164" s="129"/>
    </row>
    <row r="165" spans="1:18" ht="20.5" customHeight="1" x14ac:dyDescent="0.45">
      <c r="B165" s="215"/>
      <c r="C165" s="129"/>
      <c r="D165" s="129"/>
      <c r="E165" s="129"/>
      <c r="F165" s="129"/>
      <c r="G165" s="129"/>
      <c r="H165" s="129"/>
      <c r="I165" s="129"/>
      <c r="J165" s="140"/>
      <c r="K165" s="300"/>
      <c r="L165" s="129"/>
      <c r="M165" s="129"/>
      <c r="N165" s="129"/>
      <c r="O165" s="129"/>
      <c r="P165" s="129"/>
      <c r="Q165" s="129"/>
      <c r="R165" s="129"/>
    </row>
    <row r="166" spans="1:18" ht="20.5" customHeight="1" x14ac:dyDescent="0.45">
      <c r="B166" s="215"/>
      <c r="C166" s="129"/>
      <c r="D166" s="129"/>
      <c r="E166" s="129"/>
      <c r="F166" s="129"/>
      <c r="G166" s="129"/>
      <c r="H166" s="129"/>
      <c r="I166" s="129"/>
      <c r="J166" s="140"/>
      <c r="K166" s="300"/>
      <c r="L166" s="129"/>
      <c r="M166" s="129"/>
      <c r="N166" s="129"/>
      <c r="O166" s="129"/>
      <c r="P166" s="129"/>
      <c r="Q166" s="129"/>
      <c r="R166" s="129"/>
    </row>
    <row r="167" spans="1:18" ht="20.5" customHeight="1" x14ac:dyDescent="0.45">
      <c r="B167" s="215"/>
      <c r="C167" s="129"/>
      <c r="D167" s="129"/>
      <c r="E167" s="129"/>
      <c r="F167" s="129"/>
      <c r="G167" s="129"/>
      <c r="H167" s="129"/>
      <c r="I167" s="129"/>
      <c r="J167" s="140"/>
      <c r="K167" s="300"/>
      <c r="L167" s="129"/>
      <c r="M167" s="129"/>
      <c r="N167" s="129"/>
      <c r="O167" s="129"/>
      <c r="P167" s="129"/>
      <c r="Q167" s="129"/>
      <c r="R167" s="129"/>
    </row>
    <row r="168" spans="1:18" x14ac:dyDescent="0.55000000000000004">
      <c r="A168" s="19" t="str">
        <f>_xlfn.CONCAT(MAX($A$1:A167),"-16")</f>
        <v>1-16</v>
      </c>
      <c r="B168" s="25"/>
      <c r="C168" s="25"/>
      <c r="D168" s="25"/>
      <c r="E168" s="25"/>
      <c r="F168" s="25"/>
      <c r="G168" s="25"/>
      <c r="H168" s="25"/>
      <c r="I168" s="25"/>
      <c r="J168" s="25"/>
      <c r="K168" s="25"/>
      <c r="L168" s="25"/>
      <c r="M168" s="25"/>
      <c r="N168" s="25"/>
      <c r="O168" s="25"/>
      <c r="P168" s="25"/>
      <c r="Q168" s="25"/>
      <c r="R168" s="25"/>
    </row>
    <row r="169" spans="1:18" ht="20.5" customHeight="1" x14ac:dyDescent="0.45">
      <c r="B169" s="230" t="s">
        <v>303</v>
      </c>
      <c r="C169" s="129"/>
      <c r="D169" s="129"/>
      <c r="E169" s="129"/>
      <c r="F169" s="129"/>
      <c r="G169" s="129"/>
      <c r="H169" s="129"/>
      <c r="I169" s="129"/>
      <c r="J169" s="129"/>
      <c r="K169" s="129"/>
      <c r="L169" s="129"/>
      <c r="M169" s="129"/>
      <c r="N169" s="129"/>
      <c r="O169" s="129"/>
      <c r="P169" s="129"/>
      <c r="Q169" s="129"/>
      <c r="R169" s="129"/>
    </row>
    <row r="170" spans="1:18" ht="20.5" customHeight="1" x14ac:dyDescent="0.45">
      <c r="B170" s="230" t="s">
        <v>304</v>
      </c>
      <c r="C170" s="129"/>
      <c r="D170" s="129"/>
      <c r="E170" s="129"/>
      <c r="F170" s="129"/>
      <c r="G170" s="129"/>
      <c r="H170" s="129"/>
      <c r="I170" s="129"/>
      <c r="J170" s="129"/>
      <c r="K170" s="129"/>
      <c r="L170" s="129"/>
      <c r="M170" s="129"/>
      <c r="N170" s="129"/>
      <c r="O170" s="129"/>
      <c r="P170" s="129"/>
      <c r="Q170" s="129"/>
      <c r="R170" s="129"/>
    </row>
    <row r="171" spans="1:18" ht="20.5" customHeight="1" x14ac:dyDescent="0.45">
      <c r="B171" s="376" t="s">
        <v>746</v>
      </c>
      <c r="C171" s="189"/>
      <c r="D171" s="341" t="s">
        <v>747</v>
      </c>
      <c r="E171" s="129"/>
      <c r="F171" s="129"/>
      <c r="G171" s="129"/>
      <c r="H171" s="129"/>
      <c r="I171" s="129"/>
      <c r="J171" s="129"/>
      <c r="K171" s="129"/>
      <c r="L171" s="129"/>
      <c r="M171" s="129"/>
      <c r="N171" s="140"/>
      <c r="O171" s="300"/>
      <c r="P171" s="129"/>
      <c r="Q171" s="129"/>
      <c r="R171" s="129"/>
    </row>
    <row r="172" spans="1:18" ht="20.5" customHeight="1" x14ac:dyDescent="0.45">
      <c r="B172" s="188"/>
      <c r="C172" s="189"/>
      <c r="D172" s="341" t="s">
        <v>748</v>
      </c>
      <c r="E172" s="129"/>
      <c r="F172" s="129"/>
      <c r="G172" s="129"/>
      <c r="H172" s="129"/>
      <c r="I172" s="129"/>
      <c r="J172" s="129"/>
      <c r="K172" s="129"/>
      <c r="L172" s="129"/>
      <c r="M172" s="129"/>
      <c r="N172" s="140"/>
      <c r="O172" s="296"/>
      <c r="P172" s="129"/>
      <c r="Q172" s="129"/>
      <c r="R172" s="129"/>
    </row>
    <row r="173" spans="1:18" ht="20.5" customHeight="1" x14ac:dyDescent="0.45">
      <c r="B173" s="122"/>
      <c r="C173" s="190"/>
      <c r="D173" s="341" t="s">
        <v>749</v>
      </c>
      <c r="E173" s="129"/>
      <c r="F173" s="129"/>
      <c r="G173" s="129"/>
      <c r="H173" s="129"/>
      <c r="I173" s="129"/>
      <c r="J173" s="129"/>
      <c r="K173" s="129"/>
      <c r="L173" s="129"/>
      <c r="M173" s="129"/>
      <c r="N173" s="140"/>
      <c r="O173" s="296"/>
      <c r="P173" s="129"/>
      <c r="Q173" s="129"/>
      <c r="R173" s="129"/>
    </row>
    <row r="174" spans="1:18" ht="20.5" customHeight="1" x14ac:dyDescent="0.45">
      <c r="B174" s="377" t="s">
        <v>750</v>
      </c>
      <c r="C174" s="187"/>
      <c r="D174" s="341" t="s">
        <v>751</v>
      </c>
      <c r="E174" s="129"/>
      <c r="F174" s="129"/>
      <c r="G174" s="129"/>
      <c r="H174" s="129"/>
      <c r="I174" s="129"/>
      <c r="J174" s="129"/>
      <c r="K174" s="129"/>
      <c r="L174" s="129"/>
      <c r="M174" s="129"/>
      <c r="N174" s="140"/>
      <c r="O174" s="202"/>
      <c r="P174" s="202"/>
      <c r="Q174" s="202"/>
      <c r="R174" s="202"/>
    </row>
    <row r="175" spans="1:18" ht="20.5" customHeight="1" x14ac:dyDescent="0.45">
      <c r="B175" s="188"/>
      <c r="C175" s="189"/>
      <c r="D175" s="341" t="s">
        <v>752</v>
      </c>
      <c r="E175" s="129"/>
      <c r="F175" s="129"/>
      <c r="G175" s="129"/>
      <c r="H175" s="129"/>
      <c r="I175" s="129"/>
      <c r="J175" s="129"/>
      <c r="K175" s="129"/>
      <c r="L175" s="129"/>
      <c r="M175" s="129"/>
      <c r="N175" s="140"/>
      <c r="O175" s="204"/>
      <c r="P175" s="204"/>
      <c r="Q175" s="204"/>
      <c r="R175" s="204"/>
    </row>
    <row r="176" spans="1:18" ht="20.5" customHeight="1" x14ac:dyDescent="0.45">
      <c r="B176" s="188"/>
      <c r="C176" s="189"/>
      <c r="D176" s="341" t="s">
        <v>753</v>
      </c>
      <c r="E176" s="129"/>
      <c r="F176" s="129"/>
      <c r="G176" s="129"/>
      <c r="H176" s="129"/>
      <c r="I176" s="129"/>
      <c r="J176" s="129"/>
      <c r="K176" s="129"/>
      <c r="L176" s="129"/>
      <c r="M176" s="129"/>
      <c r="N176" s="140"/>
      <c r="O176" s="204"/>
      <c r="P176" s="204"/>
      <c r="Q176" s="204"/>
      <c r="R176" s="204"/>
    </row>
    <row r="177" spans="1:18" ht="20.5" customHeight="1" x14ac:dyDescent="0.45">
      <c r="B177" s="122"/>
      <c r="C177" s="190"/>
      <c r="D177" s="341" t="s">
        <v>754</v>
      </c>
      <c r="E177" s="129"/>
      <c r="F177" s="129"/>
      <c r="G177" s="129"/>
      <c r="H177" s="129"/>
      <c r="I177" s="129"/>
      <c r="J177" s="129"/>
      <c r="K177" s="129"/>
      <c r="L177" s="129"/>
      <c r="M177" s="129"/>
      <c r="N177" s="140"/>
      <c r="O177" s="204"/>
      <c r="P177" s="204"/>
      <c r="Q177" s="204"/>
      <c r="R177" s="204"/>
    </row>
    <row r="178" spans="1:18" ht="20.5" customHeight="1" x14ac:dyDescent="0.45">
      <c r="B178" s="377" t="s">
        <v>755</v>
      </c>
      <c r="C178" s="187"/>
      <c r="D178" s="341" t="s">
        <v>756</v>
      </c>
      <c r="E178" s="129"/>
      <c r="F178" s="129"/>
      <c r="G178" s="129"/>
      <c r="H178" s="129"/>
      <c r="I178" s="129"/>
      <c r="J178" s="129"/>
      <c r="K178" s="129"/>
      <c r="L178" s="129"/>
      <c r="M178" s="129"/>
      <c r="N178" s="140"/>
      <c r="O178" s="204"/>
      <c r="P178" s="204"/>
      <c r="Q178" s="204"/>
      <c r="R178" s="204"/>
    </row>
    <row r="179" spans="1:18" ht="20.5" customHeight="1" x14ac:dyDescent="0.45">
      <c r="B179" s="188"/>
      <c r="C179" s="189"/>
      <c r="D179" s="341" t="s">
        <v>757</v>
      </c>
      <c r="E179" s="129"/>
      <c r="F179" s="129"/>
      <c r="G179" s="129"/>
      <c r="H179" s="129"/>
      <c r="I179" s="129"/>
      <c r="J179" s="129"/>
      <c r="K179" s="129"/>
      <c r="L179" s="129"/>
      <c r="M179" s="129"/>
      <c r="N179" s="140"/>
      <c r="O179" s="204"/>
      <c r="P179" s="204"/>
      <c r="Q179" s="204"/>
      <c r="R179" s="204"/>
    </row>
    <row r="180" spans="1:18" ht="20.5" customHeight="1" x14ac:dyDescent="0.45">
      <c r="B180" s="122"/>
      <c r="C180" s="190"/>
      <c r="D180" s="341" t="s">
        <v>758</v>
      </c>
      <c r="E180" s="129"/>
      <c r="F180" s="129"/>
      <c r="G180" s="129"/>
      <c r="H180" s="129"/>
      <c r="I180" s="129"/>
      <c r="J180" s="129"/>
      <c r="K180" s="129"/>
      <c r="L180" s="129"/>
      <c r="M180" s="129"/>
      <c r="N180" s="140"/>
      <c r="O180" s="205"/>
      <c r="P180" s="205"/>
      <c r="Q180" s="205"/>
      <c r="R180" s="205"/>
    </row>
    <row r="181" spans="1:18" x14ac:dyDescent="0.55000000000000004">
      <c r="B181" s="25"/>
      <c r="C181" s="25"/>
      <c r="D181" s="25"/>
      <c r="E181" s="25"/>
      <c r="F181" s="25"/>
      <c r="G181" s="25"/>
      <c r="H181" s="25"/>
      <c r="I181" s="25"/>
      <c r="J181" s="25"/>
      <c r="K181" s="25"/>
      <c r="L181" s="25"/>
      <c r="M181" s="25"/>
      <c r="N181" s="25"/>
      <c r="O181" s="25"/>
      <c r="P181" s="25"/>
      <c r="Q181" s="25"/>
      <c r="R181" s="25"/>
    </row>
    <row r="182" spans="1:18" ht="21" customHeight="1" x14ac:dyDescent="0.45">
      <c r="B182" s="230" t="s">
        <v>305</v>
      </c>
      <c r="C182" s="129"/>
      <c r="D182" s="129"/>
      <c r="E182" s="129"/>
      <c r="F182" s="129"/>
      <c r="G182" s="129"/>
      <c r="H182" s="129"/>
      <c r="I182" s="129"/>
      <c r="J182" s="129"/>
      <c r="K182" s="129"/>
      <c r="L182" s="129"/>
      <c r="M182" s="129"/>
      <c r="N182" s="129"/>
      <c r="O182" s="129"/>
      <c r="P182" s="129"/>
      <c r="Q182" s="129"/>
      <c r="R182" s="129"/>
    </row>
    <row r="183" spans="1:18" ht="21" customHeight="1" x14ac:dyDescent="0.45">
      <c r="B183" s="247" t="s">
        <v>759</v>
      </c>
      <c r="C183" s="129"/>
      <c r="D183" s="129"/>
      <c r="E183" s="129"/>
      <c r="F183" s="129"/>
      <c r="G183" s="129"/>
      <c r="H183" s="129"/>
      <c r="I183" s="129"/>
      <c r="J183" s="129"/>
      <c r="K183" s="129"/>
      <c r="L183" s="129"/>
      <c r="M183" s="129"/>
      <c r="N183" s="140"/>
      <c r="O183" s="128"/>
      <c r="P183" s="129"/>
      <c r="Q183" s="129"/>
      <c r="R183" s="129"/>
    </row>
    <row r="184" spans="1:18" ht="30" customHeight="1" x14ac:dyDescent="0.45">
      <c r="B184" s="315" t="s">
        <v>760</v>
      </c>
      <c r="C184" s="129"/>
      <c r="D184" s="129"/>
      <c r="E184" s="129"/>
      <c r="F184" s="129"/>
      <c r="G184" s="129"/>
      <c r="H184" s="129"/>
      <c r="I184" s="129"/>
      <c r="J184" s="129"/>
      <c r="K184" s="129"/>
      <c r="L184" s="129"/>
      <c r="M184" s="129"/>
      <c r="N184" s="140"/>
      <c r="O184" s="245"/>
      <c r="P184" s="129"/>
      <c r="Q184" s="129"/>
      <c r="R184" s="129"/>
    </row>
    <row r="185" spans="1:18" ht="21" customHeight="1" x14ac:dyDescent="0.45">
      <c r="A185" s="19" t="str">
        <f>_xlfn.CONCAT(MAX($A$1:A184),"-17")</f>
        <v>1-17</v>
      </c>
      <c r="B185" s="247" t="s">
        <v>761</v>
      </c>
      <c r="C185" s="129"/>
      <c r="D185" s="129"/>
      <c r="E185" s="129"/>
      <c r="F185" s="129"/>
      <c r="G185" s="129"/>
      <c r="H185" s="129"/>
      <c r="I185" s="129"/>
      <c r="J185" s="129"/>
      <c r="K185" s="129"/>
      <c r="L185" s="129"/>
      <c r="M185" s="129"/>
      <c r="N185" s="140"/>
      <c r="O185" s="245"/>
      <c r="P185" s="129"/>
      <c r="Q185" s="129"/>
      <c r="R185" s="129"/>
    </row>
  </sheetData>
  <mergeCells count="471">
    <mergeCell ref="B182:R182"/>
    <mergeCell ref="B183:N183"/>
    <mergeCell ref="O183:R183"/>
    <mergeCell ref="B184:N184"/>
    <mergeCell ref="O184:R184"/>
    <mergeCell ref="B185:N185"/>
    <mergeCell ref="O185:R185"/>
    <mergeCell ref="B174:C177"/>
    <mergeCell ref="D174:N174"/>
    <mergeCell ref="O174:R180"/>
    <mergeCell ref="D175:N175"/>
    <mergeCell ref="D176:N176"/>
    <mergeCell ref="D177:N177"/>
    <mergeCell ref="B178:C180"/>
    <mergeCell ref="D178:N178"/>
    <mergeCell ref="D179:N179"/>
    <mergeCell ref="D180:N180"/>
    <mergeCell ref="B171:C173"/>
    <mergeCell ref="D171:N171"/>
    <mergeCell ref="O171:R171"/>
    <mergeCell ref="D172:N172"/>
    <mergeCell ref="O172:R172"/>
    <mergeCell ref="D173:N173"/>
    <mergeCell ref="O173:R173"/>
    <mergeCell ref="B166:J166"/>
    <mergeCell ref="K166:R166"/>
    <mergeCell ref="B167:J167"/>
    <mergeCell ref="K167:R167"/>
    <mergeCell ref="B169:R169"/>
    <mergeCell ref="B170:R170"/>
    <mergeCell ref="B162:R162"/>
    <mergeCell ref="B163:J163"/>
    <mergeCell ref="K163:R163"/>
    <mergeCell ref="B164:J164"/>
    <mergeCell ref="K164:R164"/>
    <mergeCell ref="B165:J165"/>
    <mergeCell ref="K165:R165"/>
    <mergeCell ref="B159:D159"/>
    <mergeCell ref="E159:F159"/>
    <mergeCell ref="G159:J159"/>
    <mergeCell ref="K159:M159"/>
    <mergeCell ref="N159:R159"/>
    <mergeCell ref="B160:D160"/>
    <mergeCell ref="E160:F160"/>
    <mergeCell ref="G160:J160"/>
    <mergeCell ref="K160:M160"/>
    <mergeCell ref="N160:R160"/>
    <mergeCell ref="B157:D157"/>
    <mergeCell ref="E157:F157"/>
    <mergeCell ref="G157:J157"/>
    <mergeCell ref="K157:M157"/>
    <mergeCell ref="N157:R157"/>
    <mergeCell ref="B158:D158"/>
    <mergeCell ref="E158:F158"/>
    <mergeCell ref="G158:J158"/>
    <mergeCell ref="K158:M158"/>
    <mergeCell ref="N158:R158"/>
    <mergeCell ref="B152:C152"/>
    <mergeCell ref="D152:N152"/>
    <mergeCell ref="O152:R152"/>
    <mergeCell ref="B154:R154"/>
    <mergeCell ref="B155:R155"/>
    <mergeCell ref="B156:D156"/>
    <mergeCell ref="E156:F156"/>
    <mergeCell ref="G156:J156"/>
    <mergeCell ref="K156:M156"/>
    <mergeCell ref="N156:R156"/>
    <mergeCell ref="D149:N149"/>
    <mergeCell ref="O149:R149"/>
    <mergeCell ref="B150:C151"/>
    <mergeCell ref="D150:N150"/>
    <mergeCell ref="O150:R150"/>
    <mergeCell ref="D151:N151"/>
    <mergeCell ref="O151:R151"/>
    <mergeCell ref="O144:R144"/>
    <mergeCell ref="D145:N145"/>
    <mergeCell ref="O145:R145"/>
    <mergeCell ref="B146:C149"/>
    <mergeCell ref="D146:N146"/>
    <mergeCell ref="O146:R146"/>
    <mergeCell ref="D147:N147"/>
    <mergeCell ref="O147:R147"/>
    <mergeCell ref="D148:N148"/>
    <mergeCell ref="O148:R148"/>
    <mergeCell ref="B139:R139"/>
    <mergeCell ref="B140:R140"/>
    <mergeCell ref="B141:N141"/>
    <mergeCell ref="O141:R141"/>
    <mergeCell ref="B142:C145"/>
    <mergeCell ref="D142:N142"/>
    <mergeCell ref="O142:R142"/>
    <mergeCell ref="D143:N143"/>
    <mergeCell ref="O143:R143"/>
    <mergeCell ref="D144:N144"/>
    <mergeCell ref="B136:D136"/>
    <mergeCell ref="E136:H136"/>
    <mergeCell ref="I136:R136"/>
    <mergeCell ref="B137:D137"/>
    <mergeCell ref="E137:H137"/>
    <mergeCell ref="I137:R137"/>
    <mergeCell ref="B134:D134"/>
    <mergeCell ref="E134:H134"/>
    <mergeCell ref="I134:R134"/>
    <mergeCell ref="B135:D135"/>
    <mergeCell ref="E135:H135"/>
    <mergeCell ref="I135:R135"/>
    <mergeCell ref="C130:N130"/>
    <mergeCell ref="O130:P130"/>
    <mergeCell ref="Q130:R130"/>
    <mergeCell ref="B132:R132"/>
    <mergeCell ref="B133:D133"/>
    <mergeCell ref="E133:H133"/>
    <mergeCell ref="I133:R133"/>
    <mergeCell ref="C128:N128"/>
    <mergeCell ref="O128:P128"/>
    <mergeCell ref="Q128:R128"/>
    <mergeCell ref="C129:N129"/>
    <mergeCell ref="O129:P129"/>
    <mergeCell ref="Q129:R129"/>
    <mergeCell ref="C126:N126"/>
    <mergeCell ref="O126:P126"/>
    <mergeCell ref="Q126:R126"/>
    <mergeCell ref="C127:N127"/>
    <mergeCell ref="O127:P127"/>
    <mergeCell ref="Q127:R127"/>
    <mergeCell ref="B123:B129"/>
    <mergeCell ref="C123:N123"/>
    <mergeCell ref="O123:P123"/>
    <mergeCell ref="Q123:R123"/>
    <mergeCell ref="C124:N124"/>
    <mergeCell ref="O124:P124"/>
    <mergeCell ref="Q124:R124"/>
    <mergeCell ref="C125:N125"/>
    <mergeCell ref="O125:P125"/>
    <mergeCell ref="Q125:R125"/>
    <mergeCell ref="B118:R118"/>
    <mergeCell ref="B119:N119"/>
    <mergeCell ref="O119:R119"/>
    <mergeCell ref="B120:B122"/>
    <mergeCell ref="C120:N120"/>
    <mergeCell ref="O120:R120"/>
    <mergeCell ref="C121:N121"/>
    <mergeCell ref="O121:R121"/>
    <mergeCell ref="C122:N122"/>
    <mergeCell ref="O122:R122"/>
    <mergeCell ref="B114:N114"/>
    <mergeCell ref="O114:R114"/>
    <mergeCell ref="B115:N115"/>
    <mergeCell ref="O115:R115"/>
    <mergeCell ref="B116:N116"/>
    <mergeCell ref="O116:R116"/>
    <mergeCell ref="B112:N112"/>
    <mergeCell ref="O112:P112"/>
    <mergeCell ref="Q112:R112"/>
    <mergeCell ref="B113:N113"/>
    <mergeCell ref="O113:P113"/>
    <mergeCell ref="Q113:R113"/>
    <mergeCell ref="B110:N110"/>
    <mergeCell ref="O110:P110"/>
    <mergeCell ref="Q110:R110"/>
    <mergeCell ref="B111:N111"/>
    <mergeCell ref="O111:P111"/>
    <mergeCell ref="Q111:R111"/>
    <mergeCell ref="B108:N108"/>
    <mergeCell ref="O108:P108"/>
    <mergeCell ref="Q108:R108"/>
    <mergeCell ref="B109:N109"/>
    <mergeCell ref="O109:P109"/>
    <mergeCell ref="Q109:R109"/>
    <mergeCell ref="B106:N106"/>
    <mergeCell ref="O106:P106"/>
    <mergeCell ref="Q106:R106"/>
    <mergeCell ref="B107:N107"/>
    <mergeCell ref="O107:P107"/>
    <mergeCell ref="Q107:R107"/>
    <mergeCell ref="B104:N104"/>
    <mergeCell ref="O104:P104"/>
    <mergeCell ref="Q104:R104"/>
    <mergeCell ref="B105:N105"/>
    <mergeCell ref="O105:P105"/>
    <mergeCell ref="Q105:R105"/>
    <mergeCell ref="B102:N102"/>
    <mergeCell ref="O102:P102"/>
    <mergeCell ref="Q102:R102"/>
    <mergeCell ref="B103:N103"/>
    <mergeCell ref="O103:P103"/>
    <mergeCell ref="Q103:R103"/>
    <mergeCell ref="B100:N100"/>
    <mergeCell ref="O100:P100"/>
    <mergeCell ref="Q100:R100"/>
    <mergeCell ref="B101:N101"/>
    <mergeCell ref="O101:P101"/>
    <mergeCell ref="Q101:R101"/>
    <mergeCell ref="B98:N98"/>
    <mergeCell ref="O98:P98"/>
    <mergeCell ref="Q98:R98"/>
    <mergeCell ref="B99:N99"/>
    <mergeCell ref="O99:P99"/>
    <mergeCell ref="Q99:R99"/>
    <mergeCell ref="B94:R94"/>
    <mergeCell ref="B95:N95"/>
    <mergeCell ref="O95:R95"/>
    <mergeCell ref="B96:N96"/>
    <mergeCell ref="O96:R96"/>
    <mergeCell ref="B97:N97"/>
    <mergeCell ref="O97:P97"/>
    <mergeCell ref="Q97:R97"/>
    <mergeCell ref="Q91:R91"/>
    <mergeCell ref="C92:D92"/>
    <mergeCell ref="E92:F92"/>
    <mergeCell ref="G92:I92"/>
    <mergeCell ref="J92:K92"/>
    <mergeCell ref="L92:M92"/>
    <mergeCell ref="N92:P92"/>
    <mergeCell ref="Q92:R92"/>
    <mergeCell ref="C91:D91"/>
    <mergeCell ref="E91:F91"/>
    <mergeCell ref="G91:I91"/>
    <mergeCell ref="J91:K91"/>
    <mergeCell ref="L91:M91"/>
    <mergeCell ref="N91:P91"/>
    <mergeCell ref="B87:N87"/>
    <mergeCell ref="O87:P87"/>
    <mergeCell ref="Q87:R87"/>
    <mergeCell ref="B88:N88"/>
    <mergeCell ref="O88:R88"/>
    <mergeCell ref="B90:R90"/>
    <mergeCell ref="B85:N85"/>
    <mergeCell ref="O85:P85"/>
    <mergeCell ref="Q85:R85"/>
    <mergeCell ref="B86:N86"/>
    <mergeCell ref="O86:P86"/>
    <mergeCell ref="Q86:R86"/>
    <mergeCell ref="B83:N83"/>
    <mergeCell ref="O83:P83"/>
    <mergeCell ref="Q83:R83"/>
    <mergeCell ref="B84:N84"/>
    <mergeCell ref="O84:P84"/>
    <mergeCell ref="Q84:R84"/>
    <mergeCell ref="B81:N81"/>
    <mergeCell ref="O81:P81"/>
    <mergeCell ref="Q81:R81"/>
    <mergeCell ref="B82:N82"/>
    <mergeCell ref="O82:P82"/>
    <mergeCell ref="Q82:R82"/>
    <mergeCell ref="B79:N79"/>
    <mergeCell ref="O79:P79"/>
    <mergeCell ref="Q79:R79"/>
    <mergeCell ref="B80:N80"/>
    <mergeCell ref="O80:P80"/>
    <mergeCell ref="Q80:R80"/>
    <mergeCell ref="B77:N77"/>
    <mergeCell ref="O77:P77"/>
    <mergeCell ref="Q77:R77"/>
    <mergeCell ref="B78:N78"/>
    <mergeCell ref="O78:P78"/>
    <mergeCell ref="Q78:R78"/>
    <mergeCell ref="B75:N75"/>
    <mergeCell ref="O75:P75"/>
    <mergeCell ref="Q75:R75"/>
    <mergeCell ref="B76:N76"/>
    <mergeCell ref="O76:P76"/>
    <mergeCell ref="Q76:R76"/>
    <mergeCell ref="B73:N73"/>
    <mergeCell ref="O73:P73"/>
    <mergeCell ref="Q73:R73"/>
    <mergeCell ref="B74:N74"/>
    <mergeCell ref="O74:P74"/>
    <mergeCell ref="Q74:R74"/>
    <mergeCell ref="B71:N71"/>
    <mergeCell ref="O71:P71"/>
    <mergeCell ref="Q71:R71"/>
    <mergeCell ref="B72:N72"/>
    <mergeCell ref="O72:P72"/>
    <mergeCell ref="Q72:R72"/>
    <mergeCell ref="B67:R67"/>
    <mergeCell ref="B68:N68"/>
    <mergeCell ref="O68:R68"/>
    <mergeCell ref="B69:N69"/>
    <mergeCell ref="O69:R69"/>
    <mergeCell ref="B70:N70"/>
    <mergeCell ref="O70:P70"/>
    <mergeCell ref="Q70:R70"/>
    <mergeCell ref="B64:D64"/>
    <mergeCell ref="E64:G64"/>
    <mergeCell ref="H64:J64"/>
    <mergeCell ref="K64:M64"/>
    <mergeCell ref="N64:R64"/>
    <mergeCell ref="B66:R66"/>
    <mergeCell ref="B62:D62"/>
    <mergeCell ref="E62:G62"/>
    <mergeCell ref="H62:J62"/>
    <mergeCell ref="K62:M62"/>
    <mergeCell ref="N62:R62"/>
    <mergeCell ref="B63:D63"/>
    <mergeCell ref="E63:G63"/>
    <mergeCell ref="H63:J63"/>
    <mergeCell ref="K63:M63"/>
    <mergeCell ref="N63:R63"/>
    <mergeCell ref="B60:R60"/>
    <mergeCell ref="B61:D61"/>
    <mergeCell ref="E61:G61"/>
    <mergeCell ref="H61:J61"/>
    <mergeCell ref="K61:M61"/>
    <mergeCell ref="N61:R61"/>
    <mergeCell ref="C57:E57"/>
    <mergeCell ref="F57:H57"/>
    <mergeCell ref="I57:K57"/>
    <mergeCell ref="L57:O57"/>
    <mergeCell ref="P57:R57"/>
    <mergeCell ref="C58:E58"/>
    <mergeCell ref="F58:H58"/>
    <mergeCell ref="I58:K58"/>
    <mergeCell ref="L58:O58"/>
    <mergeCell ref="P58:R58"/>
    <mergeCell ref="C55:E55"/>
    <mergeCell ref="F55:H55"/>
    <mergeCell ref="I55:K55"/>
    <mergeCell ref="L55:O55"/>
    <mergeCell ref="P55:R55"/>
    <mergeCell ref="C56:E56"/>
    <mergeCell ref="F56:H56"/>
    <mergeCell ref="I56:K56"/>
    <mergeCell ref="L56:O56"/>
    <mergeCell ref="P56:R56"/>
    <mergeCell ref="Q51:R51"/>
    <mergeCell ref="B53:R53"/>
    <mergeCell ref="C54:E54"/>
    <mergeCell ref="F54:H54"/>
    <mergeCell ref="I54:K54"/>
    <mergeCell ref="L54:O54"/>
    <mergeCell ref="P54:R54"/>
    <mergeCell ref="C51:D51"/>
    <mergeCell ref="E51:F51"/>
    <mergeCell ref="G51:I51"/>
    <mergeCell ref="J51:K51"/>
    <mergeCell ref="L51:M51"/>
    <mergeCell ref="N51:P51"/>
    <mergeCell ref="Q49:R49"/>
    <mergeCell ref="C50:D50"/>
    <mergeCell ref="E50:F50"/>
    <mergeCell ref="G50:I50"/>
    <mergeCell ref="J50:K50"/>
    <mergeCell ref="L50:M50"/>
    <mergeCell ref="N50:P50"/>
    <mergeCell ref="Q50:R50"/>
    <mergeCell ref="C49:D49"/>
    <mergeCell ref="E49:F49"/>
    <mergeCell ref="G49:I49"/>
    <mergeCell ref="J49:K49"/>
    <mergeCell ref="L49:M49"/>
    <mergeCell ref="N49:P49"/>
    <mergeCell ref="Q47:R47"/>
    <mergeCell ref="C48:D48"/>
    <mergeCell ref="E48:F48"/>
    <mergeCell ref="G48:I48"/>
    <mergeCell ref="J48:K48"/>
    <mergeCell ref="L48:M48"/>
    <mergeCell ref="N48:P48"/>
    <mergeCell ref="Q48:R48"/>
    <mergeCell ref="C47:D47"/>
    <mergeCell ref="E47:F47"/>
    <mergeCell ref="G47:I47"/>
    <mergeCell ref="J47:K47"/>
    <mergeCell ref="L47:M47"/>
    <mergeCell ref="N47:P47"/>
    <mergeCell ref="B43:L43"/>
    <mergeCell ref="M43:O43"/>
    <mergeCell ref="P43:R43"/>
    <mergeCell ref="B44:L44"/>
    <mergeCell ref="M44:R44"/>
    <mergeCell ref="B46:R46"/>
    <mergeCell ref="B41:L41"/>
    <mergeCell ref="M41:O41"/>
    <mergeCell ref="P41:R41"/>
    <mergeCell ref="B42:L42"/>
    <mergeCell ref="M42:O42"/>
    <mergeCell ref="P42:R42"/>
    <mergeCell ref="B39:L39"/>
    <mergeCell ref="M39:O39"/>
    <mergeCell ref="P39:R39"/>
    <mergeCell ref="B40:L40"/>
    <mergeCell ref="M40:O40"/>
    <mergeCell ref="P40:R40"/>
    <mergeCell ref="B37:L37"/>
    <mergeCell ref="M37:O37"/>
    <mergeCell ref="P37:R37"/>
    <mergeCell ref="B38:L38"/>
    <mergeCell ref="M38:O38"/>
    <mergeCell ref="P38:R38"/>
    <mergeCell ref="B35:L35"/>
    <mergeCell ref="M35:O35"/>
    <mergeCell ref="P35:R35"/>
    <mergeCell ref="B36:L36"/>
    <mergeCell ref="M36:O36"/>
    <mergeCell ref="P36:R36"/>
    <mergeCell ref="B33:L33"/>
    <mergeCell ref="M33:O33"/>
    <mergeCell ref="P33:R33"/>
    <mergeCell ref="B34:L34"/>
    <mergeCell ref="M34:O34"/>
    <mergeCell ref="P34:R34"/>
    <mergeCell ref="B31:L31"/>
    <mergeCell ref="M31:O31"/>
    <mergeCell ref="P31:R31"/>
    <mergeCell ref="B32:L32"/>
    <mergeCell ref="M32:O32"/>
    <mergeCell ref="P32:R32"/>
    <mergeCell ref="B29:L29"/>
    <mergeCell ref="M29:O29"/>
    <mergeCell ref="P29:R29"/>
    <mergeCell ref="B30:L30"/>
    <mergeCell ref="M30:O30"/>
    <mergeCell ref="P30:R30"/>
    <mergeCell ref="B27:L27"/>
    <mergeCell ref="M27:O27"/>
    <mergeCell ref="P27:R27"/>
    <mergeCell ref="B28:L28"/>
    <mergeCell ref="M28:O28"/>
    <mergeCell ref="P28:R28"/>
    <mergeCell ref="B25:L25"/>
    <mergeCell ref="M25:O25"/>
    <mergeCell ref="P25:R25"/>
    <mergeCell ref="B26:L26"/>
    <mergeCell ref="M26:O26"/>
    <mergeCell ref="P26:R26"/>
    <mergeCell ref="B23:L23"/>
    <mergeCell ref="M23:O23"/>
    <mergeCell ref="P23:R23"/>
    <mergeCell ref="B24:L24"/>
    <mergeCell ref="M24:O24"/>
    <mergeCell ref="P24:R24"/>
    <mergeCell ref="B21:L21"/>
    <mergeCell ref="M21:O21"/>
    <mergeCell ref="P21:R21"/>
    <mergeCell ref="B22:L22"/>
    <mergeCell ref="M22:O22"/>
    <mergeCell ref="P22:R22"/>
    <mergeCell ref="B19:L19"/>
    <mergeCell ref="M19:O19"/>
    <mergeCell ref="P19:R19"/>
    <mergeCell ref="B20:L20"/>
    <mergeCell ref="M20:O20"/>
    <mergeCell ref="P20:R20"/>
    <mergeCell ref="B16:L16"/>
    <mergeCell ref="M16:R16"/>
    <mergeCell ref="B17:L17"/>
    <mergeCell ref="M17:O17"/>
    <mergeCell ref="P17:R17"/>
    <mergeCell ref="B18:L18"/>
    <mergeCell ref="M18:O18"/>
    <mergeCell ref="P18:R18"/>
    <mergeCell ref="B13:R13"/>
    <mergeCell ref="B14:R14"/>
    <mergeCell ref="B15:L15"/>
    <mergeCell ref="M15:R15"/>
    <mergeCell ref="B8:J8"/>
    <mergeCell ref="K8:R8"/>
    <mergeCell ref="B9:J9"/>
    <mergeCell ref="K9:R9"/>
    <mergeCell ref="B10:J10"/>
    <mergeCell ref="K10:R10"/>
    <mergeCell ref="B2:R2"/>
    <mergeCell ref="B3:R3"/>
    <mergeCell ref="B4:N4"/>
    <mergeCell ref="O4:R4"/>
    <mergeCell ref="B6:R6"/>
    <mergeCell ref="B7:J7"/>
    <mergeCell ref="K7:R7"/>
    <mergeCell ref="B11:J11"/>
    <mergeCell ref="K11:R11"/>
  </mergeCells>
  <phoneticPr fontId="2" type="noConversion"/>
  <dataValidations count="2">
    <dataValidation type="list" allowBlank="1" showInputMessage="1" showErrorMessage="1" sqref="I134:R137" xr:uid="{D9ECF65F-77A4-4C63-A0A2-2FD6FE54E03D}">
      <formula1>"i,ii"</formula1>
    </dataValidation>
    <dataValidation type="list" allowBlank="1" showInputMessage="1" showErrorMessage="1" sqref="O4:R4 O120:R122" xr:uid="{6D1DBD6B-BA02-4508-B57A-1A0444C77657}">
      <formula1>"여,부"</formula1>
    </dataValidation>
  </dataValidations>
  <pageMargins left="0.59055118110236227" right="0.59055118110236227" top="0.59055118110236227" bottom="0.59055118110236227" header="0.31496062992125978" footer="0.31496062992125978"/>
  <pageSetup paperSize="9" scale="78" fitToHeight="0" orientation="landscape" r:id="rId1"/>
  <rowBreaks count="1" manualBreakCount="1">
    <brk id="11" max="16383" man="1"/>
  </rowBreaks>
  <extLst>
    <ext xmlns:x14="http://schemas.microsoft.com/office/spreadsheetml/2009/9/main" uri="{CCE6A557-97BC-4b89-ADB6-D9C93CAAB3DF}">
      <x14:dataValidations xmlns:xm="http://schemas.microsoft.com/office/excel/2006/main" count="6">
        <x14:dataValidation type="list" allowBlank="1" showInputMessage="1" showErrorMessage="1" xr:uid="{1DE132E3-09F0-44E1-8FDB-43B48D85DAC3}">
          <x14:formula1>
            <xm:f>코드정보!$G$173:$G$176</xm:f>
          </x14:formula1>
          <xm:sqref>E48:F51</xm:sqref>
        </x14:dataValidation>
        <x14:dataValidation type="list" allowBlank="1" showInputMessage="1" showErrorMessage="1" xr:uid="{5BB55DC8-A0A6-4EE0-82AC-F2A748CDF6AB}">
          <x14:formula1>
            <xm:f>코드정보!$G$177:$G$178</xm:f>
          </x14:formula1>
          <xm:sqref>C55:E58</xm:sqref>
        </x14:dataValidation>
        <x14:dataValidation type="list" allowBlank="1" showInputMessage="1" showErrorMessage="1" xr:uid="{5EB22C36-AC4C-4F45-AA12-16225D8B3F5A}">
          <x14:formula1>
            <xm:f>코드정보!$G$179:$G$189</xm:f>
          </x14:formula1>
          <xm:sqref>E62:G64</xm:sqref>
        </x14:dataValidation>
        <x14:dataValidation type="list" allowBlank="1" showInputMessage="1" showErrorMessage="1" xr:uid="{C70A1F2E-0FED-4FB8-91F4-97ED09DBD3E8}">
          <x14:formula1>
            <xm:f>코드정보!$G$190:$G$198</xm:f>
          </x14:formula1>
          <xm:sqref>E92:F92</xm:sqref>
        </x14:dataValidation>
        <x14:dataValidation type="list" allowBlank="1" showInputMessage="1" showErrorMessage="1" xr:uid="{A4F555EB-4245-452C-A151-BCFC2ABD1CD0}">
          <x14:formula1>
            <xm:f>코드정보!$G$199:$G$204</xm:f>
          </x14:formula1>
          <xm:sqref>O142:R142</xm:sqref>
        </x14:dataValidation>
        <x14:dataValidation type="list" allowBlank="1" showInputMessage="1" showErrorMessage="1" xr:uid="{5E7532C1-16C9-4BF1-87D4-8C9A40B2E27A}">
          <x14:formula1>
            <xm:f>코드정보!$G$205:$G$209</xm:f>
          </x14:formula1>
          <xm:sqref>O146:R146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ABE34-24FA-454A-9ACE-D3A309D80DE3}">
  <sheetPr codeName="Sheet14"/>
  <dimension ref="B2:J3"/>
  <sheetViews>
    <sheetView workbookViewId="0">
      <selection activeCell="G7" sqref="G7"/>
    </sheetView>
  </sheetViews>
  <sheetFormatPr defaultRowHeight="17.600000000000001" x14ac:dyDescent="0.55000000000000004"/>
  <cols>
    <col min="2" max="3" width="5.2109375" bestFit="1" customWidth="1"/>
    <col min="4" max="4" width="9" bestFit="1" customWidth="1"/>
    <col min="5" max="5" width="8.0703125" bestFit="1" customWidth="1"/>
    <col min="6" max="6" width="13.7109375" bestFit="1" customWidth="1"/>
    <col min="7" max="7" width="49.140625" bestFit="1" customWidth="1"/>
    <col min="8" max="8" width="11" bestFit="1" customWidth="1"/>
    <col min="9" max="10" width="12.35546875" bestFit="1" customWidth="1"/>
  </cols>
  <sheetData>
    <row r="2" spans="2:10" x14ac:dyDescent="0.55000000000000004">
      <c r="E2" t="s">
        <v>808</v>
      </c>
    </row>
    <row r="3" spans="2:10" x14ac:dyDescent="0.55000000000000004">
      <c r="B3" t="s">
        <v>805</v>
      </c>
      <c r="C3" t="s">
        <v>806</v>
      </c>
      <c r="D3" t="s">
        <v>807</v>
      </c>
      <c r="E3" t="s">
        <v>307</v>
      </c>
      <c r="F3" t="s">
        <v>309</v>
      </c>
      <c r="G3" t="s">
        <v>809</v>
      </c>
      <c r="H3" t="s">
        <v>810</v>
      </c>
      <c r="I3" t="s">
        <v>811</v>
      </c>
      <c r="J3" t="s">
        <v>812</v>
      </c>
    </row>
  </sheetData>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5"/>
  <dimension ref="A1:B14"/>
  <sheetViews>
    <sheetView workbookViewId="0"/>
  </sheetViews>
  <sheetFormatPr defaultRowHeight="17.600000000000001" x14ac:dyDescent="0.55000000000000004"/>
  <sheetData>
    <row r="1" spans="1:2" x14ac:dyDescent="0.55000000000000004">
      <c r="A1" t="s">
        <v>762</v>
      </c>
      <c r="B1" t="s">
        <v>763</v>
      </c>
    </row>
    <row r="2" spans="1:2" x14ac:dyDescent="0.55000000000000004">
      <c r="A2" t="s">
        <v>764</v>
      </c>
      <c r="B2" t="s">
        <v>765</v>
      </c>
    </row>
    <row r="3" spans="1:2" x14ac:dyDescent="0.55000000000000004">
      <c r="A3" t="s">
        <v>766</v>
      </c>
      <c r="B3" t="s">
        <v>767</v>
      </c>
    </row>
    <row r="4" spans="1:2" x14ac:dyDescent="0.55000000000000004">
      <c r="A4" t="s">
        <v>768</v>
      </c>
      <c r="B4" t="s">
        <v>769</v>
      </c>
    </row>
    <row r="5" spans="1:2" x14ac:dyDescent="0.55000000000000004">
      <c r="A5" t="s">
        <v>770</v>
      </c>
      <c r="B5" t="s">
        <v>771</v>
      </c>
    </row>
    <row r="6" spans="1:2" x14ac:dyDescent="0.55000000000000004">
      <c r="A6" t="s">
        <v>772</v>
      </c>
      <c r="B6" t="s">
        <v>773</v>
      </c>
    </row>
    <row r="7" spans="1:2" x14ac:dyDescent="0.55000000000000004">
      <c r="A7" t="s">
        <v>774</v>
      </c>
      <c r="B7" t="s">
        <v>775</v>
      </c>
    </row>
    <row r="8" spans="1:2" x14ac:dyDescent="0.55000000000000004">
      <c r="A8" t="s">
        <v>776</v>
      </c>
      <c r="B8">
        <v>1</v>
      </c>
    </row>
    <row r="9" spans="1:2" x14ac:dyDescent="0.55000000000000004">
      <c r="A9" t="s">
        <v>777</v>
      </c>
      <c r="B9">
        <v>1</v>
      </c>
    </row>
    <row r="10" spans="1:2" x14ac:dyDescent="0.55000000000000004">
      <c r="A10" t="s">
        <v>778</v>
      </c>
      <c r="B10">
        <v>1</v>
      </c>
    </row>
    <row r="11" spans="1:2" x14ac:dyDescent="0.55000000000000004">
      <c r="A11" t="s">
        <v>779</v>
      </c>
      <c r="B11">
        <v>1</v>
      </c>
    </row>
    <row r="12" spans="1:2" x14ac:dyDescent="0.55000000000000004">
      <c r="A12" t="s">
        <v>780</v>
      </c>
      <c r="B12">
        <v>1</v>
      </c>
    </row>
    <row r="13" spans="1:2" x14ac:dyDescent="0.55000000000000004">
      <c r="A13" t="s">
        <v>781</v>
      </c>
      <c r="B13" t="s">
        <v>782</v>
      </c>
    </row>
    <row r="14" spans="1:2" x14ac:dyDescent="0.55000000000000004">
      <c r="A14" t="s">
        <v>783</v>
      </c>
      <c r="B14" t="s">
        <v>784</v>
      </c>
    </row>
  </sheetData>
  <phoneticPr fontId="2"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7B1420569E874D84F005864FA1CF20" ma:contentTypeVersion="14" ma:contentTypeDescription="Create a new document." ma:contentTypeScope="" ma:versionID="781d7b9af9cc3a659dcb888213a65bb7">
  <xsd:schema xmlns:xsd="http://www.w3.org/2001/XMLSchema" xmlns:xs="http://www.w3.org/2001/XMLSchema" xmlns:p="http://schemas.microsoft.com/office/2006/metadata/properties" xmlns:ns2="612c7f13-cc93-4965-97ab-e3c32cd2228c" xmlns:ns3="80a1c9d0-6e8c-4946-9469-efd6bd4061c4" targetNamespace="http://schemas.microsoft.com/office/2006/metadata/properties" ma:root="true" ma:fieldsID="051e133dd37b0df67e7cfbc048576acc" ns2:_="" ns3:_="">
    <xsd:import namespace="612c7f13-cc93-4965-97ab-e3c32cd2228c"/>
    <xsd:import namespace="80a1c9d0-6e8c-4946-9469-efd6bd4061c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2c7f13-cc93-4965-97ab-e3c32cd222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0a1c9d0-6e8c-4946-9469-efd6bd4061c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979de23-2939-4124-8b3d-e08ee0d82ffa}" ma:internalName="TaxCatchAll" ma:showField="CatchAllData" ma:web="80a1c9d0-6e8c-4946-9469-efd6bd4061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12c7f13-cc93-4965-97ab-e3c32cd2228c">
      <Terms xmlns="http://schemas.microsoft.com/office/infopath/2007/PartnerControls"/>
    </lcf76f155ced4ddcb4097134ff3c332f>
    <TaxCatchAll xmlns="80a1c9d0-6e8c-4946-9469-efd6bd4061c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D68B76-BFA1-40DB-AAFF-09C2E3C2AFEA}">
  <ds:schemaRefs>
    <ds:schemaRef ds:uri="http://schemas.microsoft.com/office/2006/metadata/contentType"/>
    <ds:schemaRef ds:uri="http://schemas.microsoft.com/office/2006/metadata/properties/metaAttributes"/>
    <ds:schemaRef ds:uri="http://www.w3.org/2000/xmlns/"/>
    <ds:schemaRef ds:uri="http://www.w3.org/2001/XMLSchema"/>
    <ds:schemaRef ds:uri="612c7f13-cc93-4965-97ab-e3c32cd2228c"/>
    <ds:schemaRef ds:uri="80a1c9d0-6e8c-4946-9469-efd6bd4061c4"/>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F8A1A8-F05A-40F0-99C6-B70BC6FA84B6}">
  <ds:schemaRefs>
    <ds:schemaRef ds:uri="http://schemas.microsoft.com/office/2006/metadata/properties"/>
    <ds:schemaRef ds:uri="http://www.w3.org/2000/xmlns/"/>
    <ds:schemaRef ds:uri="612c7f13-cc93-4965-97ab-e3c32cd2228c"/>
    <ds:schemaRef ds:uri="http://schemas.microsoft.com/office/infopath/2007/PartnerControls"/>
    <ds:schemaRef ds:uri="80a1c9d0-6e8c-4946-9469-efd6bd4061c4"/>
    <ds:schemaRef ds:uri="http://www.w3.org/2001/XMLSchema-instance"/>
  </ds:schemaRefs>
</ds:datastoreItem>
</file>

<file path=customXml/itemProps3.xml><?xml version="1.0" encoding="utf-8"?>
<ds:datastoreItem xmlns:ds="http://schemas.openxmlformats.org/officeDocument/2006/customXml" ds:itemID="{BBC3C2E8-F12F-4F8C-9328-3A90C3ADE36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15</vt:i4>
      </vt:variant>
      <vt:variant>
        <vt:lpstr>이름 지정된 범위</vt:lpstr>
      </vt:variant>
      <vt:variant>
        <vt:i4>3</vt:i4>
      </vt:variant>
    </vt:vector>
  </HeadingPairs>
  <TitlesOfParts>
    <vt:vector size="18" baseType="lpstr">
      <vt:lpstr>작성요령</vt:lpstr>
      <vt:lpstr>구성기업</vt:lpstr>
      <vt:lpstr>코드정보</vt:lpstr>
      <vt:lpstr>목차</vt:lpstr>
      <vt:lpstr>MNE그룹 정보</vt:lpstr>
      <vt:lpstr>최종모기업</vt:lpstr>
      <vt:lpstr>그룹구조</vt:lpstr>
      <vt:lpstr>제외기업</vt:lpstr>
      <vt:lpstr>그룹구조 변동</vt:lpstr>
      <vt:lpstr>요약</vt:lpstr>
      <vt:lpstr>적용면제</vt:lpstr>
      <vt:lpstr>UTPR 배분</vt:lpstr>
      <vt:lpstr>국가별 계산</vt:lpstr>
      <vt:lpstr>구성기업 계산</vt:lpstr>
      <vt:lpstr>from_template</vt:lpstr>
      <vt:lpstr>'구성기업 계산'!Print_Area</vt:lpstr>
      <vt:lpstr>구성기업!Print_Titles</vt:lpstr>
      <vt:lpstr>작성요령!Print_Titles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Min-Hoon Choi (KR - Tax)</dc:creator>
  <cp:keywords/>
  <dc:description/>
  <cp:lastModifiedBy>재원 김</cp:lastModifiedBy>
  <cp:revision/>
  <cp:lastPrinted>2026-04-26T17:29:07Z</cp:lastPrinted>
  <dcterms:created xsi:type="dcterms:W3CDTF">2024-11-04T07:57:30Z</dcterms:created>
  <dcterms:modified xsi:type="dcterms:W3CDTF">2026-04-27T03:14:04Z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0x010100C17B1420569E874D84F005864FA1CF20</vt:lpwstr>
  </property>
  <property fmtid="{D5CDD505-2E9C-101B-9397-08002B2CF9AE}" pid="3" name="MediaServiceImageTags">
    <vt:lpwstr/>
  </property>
</Properties>
</file>